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7715" windowHeight="8520" activeTab="1"/>
  </bookViews>
  <sheets>
    <sheet name="Gap" sheetId="2" r:id="rId1"/>
    <sheet name="IPC" sheetId="3" r:id="rId2"/>
    <sheet name="TPM" sheetId="5" r:id="rId3"/>
    <sheet name="MateriaPrima" sheetId="4" r:id="rId4"/>
    <sheet name="Base completa_fcast_alt" sheetId="1" r:id="rId5"/>
  </sheets>
  <calcPr calcId="0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2" i="3"/>
  <c r="K61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33" i="3"/>
  <c r="I53" i="3"/>
  <c r="I54" i="3"/>
  <c r="I55" i="3"/>
  <c r="I56" i="3"/>
  <c r="I57" i="3"/>
  <c r="I58" i="3"/>
  <c r="I59" i="3"/>
  <c r="I60" i="3"/>
  <c r="I61" i="3"/>
</calcChain>
</file>

<file path=xl/sharedStrings.xml><?xml version="1.0" encoding="utf-8"?>
<sst xmlns="http://schemas.openxmlformats.org/spreadsheetml/2006/main" count="414" uniqueCount="154">
  <si>
    <t>Variables -&gt;</t>
  </si>
  <si>
    <t>L_GDP</t>
  </si>
  <si>
    <t>L_GDP_BAR</t>
  </si>
  <si>
    <t>L_GDP_GAP</t>
  </si>
  <si>
    <t>L_CPI</t>
  </si>
  <si>
    <t>L_CPIXFE</t>
  </si>
  <si>
    <t>TPM</t>
  </si>
  <si>
    <t>TPMN1</t>
  </si>
  <si>
    <t>T_COLOC</t>
  </si>
  <si>
    <t>L_Z</t>
  </si>
  <si>
    <t>CRECSC</t>
  </si>
  <si>
    <t>L_PCU</t>
  </si>
  <si>
    <t>L_WTI</t>
  </si>
  <si>
    <t>FFR</t>
  </si>
  <si>
    <t>UST10</t>
  </si>
  <si>
    <t>VIX</t>
  </si>
  <si>
    <t>L_Z_GAP</t>
  </si>
  <si>
    <t>L_Food</t>
  </si>
  <si>
    <t>PCU_NOM</t>
  </si>
  <si>
    <t>WTI_NOM</t>
  </si>
  <si>
    <t>L_PCU_NOM</t>
  </si>
  <si>
    <t>L_WTI_NOM</t>
  </si>
  <si>
    <t>CPI_US</t>
  </si>
  <si>
    <t>CPI_US_2020</t>
  </si>
  <si>
    <t>L_CPI_US</t>
  </si>
  <si>
    <t>D4L_CPI_US</t>
  </si>
  <si>
    <t>DLA_CPI_US</t>
  </si>
  <si>
    <t>DLA_GDP</t>
  </si>
  <si>
    <t>D4L_GDP</t>
  </si>
  <si>
    <t>DLA_GDP_BAR</t>
  </si>
  <si>
    <t>D4L_GDP_BAR</t>
  </si>
  <si>
    <t>DLA_GDP_GAP</t>
  </si>
  <si>
    <t>D4L_GDP_GAP</t>
  </si>
  <si>
    <t>DLA_CPI</t>
  </si>
  <si>
    <t>D4L_CPI</t>
  </si>
  <si>
    <t>DLA_CPIXFE</t>
  </si>
  <si>
    <t>D4L_CPIXFE</t>
  </si>
  <si>
    <t>DLA_Z</t>
  </si>
  <si>
    <t>D4L_Z</t>
  </si>
  <si>
    <t>DLA_PCU</t>
  </si>
  <si>
    <t>D4L_PCU</t>
  </si>
  <si>
    <t>DLA_WTI</t>
  </si>
  <si>
    <t>D4L_WTI</t>
  </si>
  <si>
    <t>DLA_Z_GAP</t>
  </si>
  <si>
    <t>D4L_Z_GAP</t>
  </si>
  <si>
    <t>DLA_Food</t>
  </si>
  <si>
    <t>D4L_Food</t>
  </si>
  <si>
    <t>DLA_PCU_NOM</t>
  </si>
  <si>
    <t>D4L_PCU_NOM</t>
  </si>
  <si>
    <t>DLA_WTI_NOM</t>
  </si>
  <si>
    <t>D4L_WTI_NOM</t>
  </si>
  <si>
    <t>DLA_CPIRES</t>
  </si>
  <si>
    <t>L_Z_INDEX</t>
  </si>
  <si>
    <t>D4L_CPI_GAP_XFE</t>
  </si>
  <si>
    <t>Comments -&gt;</t>
  </si>
  <si>
    <t>Real GDP (100*log)</t>
  </si>
  <si>
    <t>Trend in Real GDP (100*log)</t>
  </si>
  <si>
    <t>Output Gap (in %)</t>
  </si>
  <si>
    <t>CPI (level, 100*log)</t>
  </si>
  <si>
    <t>Core CPI (level, 100*log)</t>
  </si>
  <si>
    <t>Nominal Policy Interest Rate (in % pa)</t>
  </si>
  <si>
    <t>Neutral Interest Rate (in % pa)</t>
  </si>
  <si>
    <t>Tasa de interes de las colocaciones en UF (%)</t>
  </si>
  <si>
    <t>Real Exchange Rate (level, 100*log)</t>
  </si>
  <si>
    <t>Foreign Output growth (in %)</t>
  </si>
  <si>
    <t>Copper Price (USD per lb, 100*log)</t>
  </si>
  <si>
    <t>Oil Price (WTI, USD per barreÃ±, 100*log)</t>
  </si>
  <si>
    <t>Federal Fund Rate (%)</t>
  </si>
  <si>
    <t>T-Bill 10 years (%)</t>
  </si>
  <si>
    <t>VIX (index)</t>
  </si>
  <si>
    <t>Real Exchange Rate Gap (in %)</t>
  </si>
  <si>
    <t>YoY Inflation Food (in %)</t>
  </si>
  <si>
    <t>Quarterly Growth in Real GDP(in % pa)</t>
  </si>
  <si>
    <t>Real GDP Growth YoY (in %)</t>
  </si>
  <si>
    <t>Real GDP Trend Growth QoQ @ar (in %)</t>
  </si>
  <si>
    <t>QoQ Inflation (in % @ar)</t>
  </si>
  <si>
    <t>YoY Inflation (in %)</t>
  </si>
  <si>
    <t>QoQ Core Inflation (in % @ar)</t>
  </si>
  <si>
    <t>YoY Core Inflation (in %)</t>
  </si>
  <si>
    <t>QoQ Residual Inflation (in % @ar)</t>
  </si>
  <si>
    <t>NaN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</si>
  <si>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</si>
  <si>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</si>
  <si>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</si>
  <si>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</si>
  <si>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</si>
  <si>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</si>
  <si>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</si>
  <si>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</si>
  <si>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</si>
  <si>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</si>
  <si>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</si>
  <si>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</si>
  <si>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</si>
  <si>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</si>
  <si>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</si>
  <si>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</si>
  <si>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</si>
  <si>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</si>
  <si>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</si>
  <si>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</si>
  <si>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</si>
  <si>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</si>
  <si>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</si>
  <si>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</si>
  <si>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</si>
  <si>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</si>
  <si>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</si>
  <si>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</si>
  <si>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</si>
  <si>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</si>
  <si>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</si>
  <si>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</si>
  <si>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</si>
  <si>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</si>
  <si>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</si>
  <si>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</si>
  <si>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</si>
  <si>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</si>
  <si>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</si>
  <si>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</si>
  <si>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</si>
  <si>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</si>
  <si>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</si>
  <si>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</si>
  <si>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</si>
  <si>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</si>
  <si>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</si>
  <si>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</si>
  <si>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 xml:space="preserve"> IPoM Mar.26</t>
  </si>
  <si>
    <t>21</t>
  </si>
  <si>
    <t>22</t>
  </si>
  <si>
    <t>23</t>
  </si>
  <si>
    <t>24</t>
  </si>
  <si>
    <t>25</t>
  </si>
  <si>
    <t>26</t>
  </si>
  <si>
    <t>27</t>
  </si>
  <si>
    <t>28</t>
  </si>
  <si>
    <t>BRECHA DE ACTIVIDAD (1) (2)</t>
  </si>
  <si>
    <t>(nivel, puntos porcentuales)</t>
  </si>
  <si>
    <t xml:space="preserve"> IPoM Abr (f)</t>
  </si>
  <si>
    <t>IPC  (a/a, %)</t>
  </si>
  <si>
    <t>IPC SV (a/a,%)</t>
  </si>
  <si>
    <t>PROYECCIONES DE CRECIMIENTO E INFLACIÓN (1)</t>
  </si>
  <si>
    <t>(variación anual, porcentaje)</t>
  </si>
  <si>
    <t>Cobre</t>
  </si>
  <si>
    <t>Petróleo</t>
  </si>
  <si>
    <t>Año</t>
  </si>
  <si>
    <t>IPoM Mar.26</t>
  </si>
  <si>
    <t>PROYECCIONES DE INFLACIÓN SV (1)</t>
  </si>
  <si>
    <t>GRÁFICO II</t>
  </si>
  <si>
    <t xml:space="preserve"> IPoM Abr (IRIS maneja diff en logs)</t>
  </si>
  <si>
    <t>GRÁFICO I</t>
  </si>
  <si>
    <t>GRÁFICO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</si>
</sst>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Frutiger LT 45 Light"/>
      <family val="2"/>
    </font>
    <font>
      <b/>
      <sz val="10"/>
      <color theme="0"/>
      <name val="Calibri"/>
      <family val="2"/>
      <scheme val="minor"/>
    </font>
    <font>
      <sz val="9"/>
      <color theme="1"/>
      <name val="Frutiger LT 45 Light"/>
      <family val="2"/>
    </font>
    <font>
      <sz val="10"/>
      <name val="Calibri"/>
      <family val="2"/>
      <scheme val="minor"/>
    </font>
    <font>
      <sz val="9"/>
      <name val="Humnst777 Lt BT"/>
      <family val="2"/>
    </font>
    <font>
      <sz val="9"/>
      <name val="Frutiger LT 47 LightCn"/>
      <family val="2"/>
    </font>
    <font>
      <b/>
      <sz val="9"/>
      <name val="Frutiger LT 47 LightCn"/>
      <family val="2"/>
    </font>
    <font>
      <b/>
      <sz val="10"/>
      <color theme="0"/>
      <name val="Arial"/>
      <family val="2"/>
    </font>
    <font>
      <sz val="11"/>
      <color theme="1"/>
      <name val="Frutiger LT 47 LightCn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b/>
      <sz val="10"/>
      <color theme="0"/>
      <name val="Calibri"/>
      <family val="2"/>
    </font>
    <font>
      <b/>
      <sz val="10"/>
      <name val="Humnst777 Lt BT"/>
    </font>
    <font>
      <sz val="10"/>
      <name val="Calibri"/>
      <family val="2"/>
    </font>
    <font>
      <sz val="10"/>
      <name val="Courier"/>
    </font>
    <font>
      <sz val="10"/>
      <name val="Courier"/>
      <family val="3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24" fillId="0" borderId="0" applyNumberForma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30" fillId="0" borderId="0"/>
    <xf numFmtId="0" fontId="34" fillId="0" borderId="0"/>
    <xf numFmtId="0" fontId="36" fillId="0" borderId="0"/>
    <xf numFmtId="0" fontId="35" fillId="0" borderId="0"/>
  </cellStyleXfs>
  <cellXfs count="46">
    <xf numFmtId="0" fontId="0" fillId="0" borderId="0" xfId="0"/>
    <xf numFmtId="11" fontId="0" fillId="0" borderId="0" xfId="0" applyNumberFormat="1"/>
    <xf numFmtId="164" fontId="0" fillId="36" borderId="0" xfId="0" applyNumberFormat="1" applyFill="1"/>
    <xf numFmtId="0" fontId="0" fillId="33" borderId="0" xfId="0" applyFill="1"/>
    <xf numFmtId="0" fontId="0" fillId="33" borderId="0" xfId="0" applyFill="1" applyAlignment="1">
      <alignment horizontal="center"/>
    </xf>
    <xf numFmtId="49" fontId="27" fillId="35" borderId="10" xfId="46" applyNumberFormat="1" applyFont="1" applyFill="1" applyBorder="1" applyAlignment="1">
      <alignment horizontal="center" vertical="center"/>
    </xf>
    <xf numFmtId="0" fontId="27" fillId="35" borderId="10" xfId="46" applyFont="1" applyFill="1" applyBorder="1" applyAlignment="1">
      <alignment horizontal="center" vertical="center"/>
    </xf>
    <xf numFmtId="49" fontId="0" fillId="33" borderId="10" xfId="0" applyNumberForma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164" fontId="19" fillId="33" borderId="0" xfId="0" applyNumberFormat="1" applyFont="1" applyFill="1" applyAlignment="1">
      <alignment horizontal="center"/>
    </xf>
    <xf numFmtId="49" fontId="19" fillId="33" borderId="10" xfId="0" applyNumberFormat="1" applyFont="1" applyFill="1" applyBorder="1"/>
    <xf numFmtId="49" fontId="19" fillId="33" borderId="0" xfId="0" applyNumberFormat="1" applyFont="1" applyFill="1" applyAlignment="1">
      <alignment horizontal="center"/>
    </xf>
    <xf numFmtId="2" fontId="0" fillId="36" borderId="0" xfId="0" applyNumberFormat="1" applyFill="1"/>
    <xf numFmtId="2" fontId="33" fillId="33" borderId="10" xfId="50" applyNumberFormat="1" applyFont="1" applyFill="1" applyBorder="1" applyAlignment="1">
      <alignment horizontal="center"/>
    </xf>
    <xf numFmtId="0" fontId="27" fillId="35" borderId="10" xfId="46" applyFont="1" applyFill="1" applyBorder="1" applyAlignment="1">
      <alignment horizontal="center" vertical="center"/>
    </xf>
    <xf numFmtId="0" fontId="20" fillId="33" borderId="0" xfId="0" applyFont="1" applyFill="1"/>
    <xf numFmtId="0" fontId="28" fillId="33" borderId="0" xfId="0" applyFont="1" applyFill="1"/>
    <xf numFmtId="0" fontId="22" fillId="33" borderId="0" xfId="0" applyFont="1" applyFill="1"/>
    <xf numFmtId="0" fontId="0" fillId="0" borderId="0" xfId="0"/>
    <xf numFmtId="0" fontId="27" fillId="35" borderId="10" xfId="46" applyFont="1" applyFill="1" applyBorder="1" applyAlignment="1">
      <alignment horizontal="center" vertical="center"/>
    </xf>
    <xf numFmtId="0" fontId="31" fillId="35" borderId="10" xfId="50" applyFont="1" applyFill="1" applyBorder="1" applyAlignment="1">
      <alignment horizontal="center" vertical="center"/>
    </xf>
    <xf numFmtId="1" fontId="31" fillId="35" borderId="10" xfId="50" applyNumberFormat="1" applyFont="1" applyFill="1" applyBorder="1" applyAlignment="1">
      <alignment horizontal="center" vertical="center"/>
    </xf>
    <xf numFmtId="2" fontId="32" fillId="33" borderId="0" xfId="50" applyNumberFormat="1" applyFont="1" applyFill="1"/>
    <xf numFmtId="164" fontId="33" fillId="33" borderId="10" xfId="50" applyNumberFormat="1" applyFont="1" applyFill="1" applyBorder="1" applyAlignment="1">
      <alignment horizontal="center"/>
    </xf>
    <xf numFmtId="10" fontId="0" fillId="0" borderId="0" xfId="0" applyNumberFormat="1"/>
    <xf numFmtId="2" fontId="23" fillId="36" borderId="10" xfId="0" applyNumberFormat="1" applyFont="1" applyFill="1" applyBorder="1" applyAlignment="1">
      <alignment horizontal="center"/>
    </xf>
    <xf numFmtId="164" fontId="0" fillId="36" borderId="10" xfId="0" applyNumberFormat="1" applyFill="1" applyBorder="1"/>
    <xf numFmtId="0" fontId="25" fillId="33" borderId="0" xfId="44" applyFont="1" applyFill="1"/>
    <xf numFmtId="49" fontId="0" fillId="33" borderId="10" xfId="0" applyNumberFormat="1" applyFill="1" applyBorder="1" applyAlignment="1">
      <alignment horizontal="center"/>
    </xf>
    <xf numFmtId="49" fontId="19" fillId="33" borderId="10" xfId="0" applyNumberFormat="1" applyFont="1" applyFill="1" applyBorder="1"/>
    <xf numFmtId="0" fontId="26" fillId="0" borderId="0" xfId="47" applyFont="1" applyAlignment="1">
      <alignment vertical="top"/>
    </xf>
    <xf numFmtId="0" fontId="26" fillId="33" borderId="0" xfId="49" applyFont="1" applyFill="1"/>
    <xf numFmtId="0" fontId="25" fillId="33" borderId="0" xfId="50" applyFont="1" applyFill="1"/>
    <xf numFmtId="0" fontId="0" fillId="0" borderId="0" xfId="0"/>
    <xf numFmtId="0" fontId="19" fillId="34" borderId="0" xfId="42" applyFont="1" applyFill="1"/>
    <xf numFmtId="0" fontId="21" fillId="35" borderId="10" xfId="0" applyFont="1" applyFill="1" applyBorder="1" applyAlignment="1">
      <alignment horizontal="center" vertical="center" wrapText="1"/>
    </xf>
    <xf numFmtId="2" fontId="23" fillId="33" borderId="10" xfId="0" applyNumberFormat="1" applyFont="1" applyFill="1" applyBorder="1" applyAlignment="1">
      <alignment horizontal="center"/>
    </xf>
    <xf numFmtId="0" fontId="25" fillId="33" borderId="0" xfId="44" applyFont="1" applyFill="1"/>
    <xf numFmtId="49" fontId="27" fillId="35" borderId="10" xfId="46" applyNumberFormat="1" applyFont="1" applyFill="1" applyBorder="1" applyAlignment="1">
      <alignment horizontal="center" vertical="center"/>
    </xf>
    <xf numFmtId="0" fontId="27" fillId="35" borderId="10" xfId="46" applyFont="1" applyFill="1" applyBorder="1" applyAlignment="1">
      <alignment horizontal="center" vertical="center"/>
    </xf>
    <xf numFmtId="49" fontId="0" fillId="33" borderId="10" xfId="0" applyNumberFormat="1" applyFill="1" applyBorder="1" applyAlignment="1">
      <alignment horizontal="center"/>
    </xf>
    <xf numFmtId="49" fontId="19" fillId="33" borderId="10" xfId="0" applyNumberFormat="1" applyFont="1" applyFill="1" applyBorder="1"/>
    <xf numFmtId="2" fontId="32" fillId="33" borderId="0" xfId="50" applyNumberFormat="1" applyFont="1" applyFill="1"/>
    <xf numFmtId="2" fontId="36" fillId="36" borderId="0" xfId="52" applyNumberFormat="1" applyFill="1"/>
    <xf numFmtId="0" fontId="22" fillId="33" borderId="0" xfId="0" applyFont="1" applyFill="1"/>
    <xf numFmtId="2" fontId="29" fillId="33" borderId="10" xfId="0" applyNumberFormat="1" applyFont="1" applyFill="1" applyBorder="1" applyAlignment="1">
      <alignment horizontal="center"/>
    </xf>
  </cellXfs>
  <cellStyles count="5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51"/>
    <cellStyle name="Normal 2 2" xfId="53"/>
    <cellStyle name="Normal 2 2 2 4" xfId="43"/>
    <cellStyle name="Normal 3" xfId="52"/>
    <cellStyle name="Normal 3 2 3 2" xfId="45"/>
    <cellStyle name="Normal 3 2 3 2 2" xfId="49"/>
    <cellStyle name="Normal 3 2 3 4" xfId="46"/>
    <cellStyle name="Normal 34 2" xfId="42"/>
    <cellStyle name="Normal 72" xfId="48"/>
    <cellStyle name="Normal_fans" xfId="50"/>
    <cellStyle name="Normal_IPoM junio Cap. II vf" xfId="47"/>
    <cellStyle name="Notas" xfId="15" builtinId="10" customBuiltin="1"/>
    <cellStyle name="pablo" xfId="44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Gap!$B$2</c:f>
              <c:strCache>
                <c:ptCount val="1"/>
                <c:pt idx="0">
                  <c:v> IPoM Mar.26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strRef>
              <c:f>Gap!$A$3:$A$31</c:f>
              <c:strCache>
                <c:ptCount val="29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  <c:pt idx="28">
                  <c:v>28</c:v>
                </c:pt>
              </c:strCache>
            </c:strRef>
          </c:cat>
          <c:val>
            <c:numRef>
              <c:f>Gap!$B$3:$B$31</c:f>
              <c:numCache>
                <c:formatCode>#,#00</c:formatCode>
                <c:ptCount val="29"/>
                <c:pt idx="0">
                  <c:v>-0.47669450723191176</c:v>
                </c:pt>
                <c:pt idx="1">
                  <c:v>-0.69615980723725102</c:v>
                </c:pt>
                <c:pt idx="2">
                  <c:v>3.3627222355704589</c:v>
                </c:pt>
                <c:pt idx="3">
                  <c:v>4.1499363394059685</c:v>
                </c:pt>
                <c:pt idx="4">
                  <c:v>3.0890233908117182</c:v>
                </c:pt>
                <c:pt idx="5">
                  <c:v>2.2600517661430786</c:v>
                </c:pt>
                <c:pt idx="6">
                  <c:v>1.8192647913931381</c:v>
                </c:pt>
                <c:pt idx="7">
                  <c:v>-0.16586607628106265</c:v>
                </c:pt>
                <c:pt idx="8">
                  <c:v>0.86446165492013449</c:v>
                </c:pt>
                <c:pt idx="9">
                  <c:v>3.0521672551486745E-2</c:v>
                </c:pt>
                <c:pt idx="10">
                  <c:v>-0.15273532768063092</c:v>
                </c:pt>
                <c:pt idx="11">
                  <c:v>-0.20572747498235344</c:v>
                </c:pt>
                <c:pt idx="12">
                  <c:v>0.34104505183307765</c:v>
                </c:pt>
                <c:pt idx="13">
                  <c:v>-0.90931071370832228</c:v>
                </c:pt>
                <c:pt idx="14">
                  <c:v>-0.44498129029477695</c:v>
                </c:pt>
                <c:pt idx="15">
                  <c:v>-0.14050141099772873</c:v>
                </c:pt>
                <c:pt idx="16">
                  <c:v>0.69031174380569382</c:v>
                </c:pt>
                <c:pt idx="17">
                  <c:v>-7.2477643382384827E-2</c:v>
                </c:pt>
                <c:pt idx="18">
                  <c:v>-0.26531174994275375</c:v>
                </c:pt>
                <c:pt idx="19">
                  <c:v>-0.29666650219297708</c:v>
                </c:pt>
                <c:pt idx="20">
                  <c:v>-0.38531515822377571</c:v>
                </c:pt>
                <c:pt idx="21">
                  <c:v>-0.36051391006317601</c:v>
                </c:pt>
                <c:pt idx="22">
                  <c:v>-0.4390126649957658</c:v>
                </c:pt>
                <c:pt idx="23">
                  <c:v>-0.49813742267615191</c:v>
                </c:pt>
                <c:pt idx="24">
                  <c:v>-0.51635164593622007</c:v>
                </c:pt>
                <c:pt idx="25">
                  <c:v>-0.48235892405238334</c:v>
                </c:pt>
                <c:pt idx="26">
                  <c:v>-0.42452284560311537</c:v>
                </c:pt>
                <c:pt idx="27">
                  <c:v>-0.3729968516990978</c:v>
                </c:pt>
                <c:pt idx="28">
                  <c:v>-0.30020776326316834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Gap!$C$2</c:f>
              <c:strCache>
                <c:ptCount val="1"/>
                <c:pt idx="0">
                  <c:v> IPoM Abr (f)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strRef>
              <c:f>Gap!$A$3:$A$31</c:f>
              <c:strCache>
                <c:ptCount val="29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  <c:pt idx="28">
                  <c:v>28</c:v>
                </c:pt>
              </c:strCache>
            </c:strRef>
          </c:cat>
          <c:val>
            <c:numRef>
              <c:f>Gap!$C$3:$C$31</c:f>
              <c:numCache>
                <c:formatCode>#,#00</c:formatCode>
                <c:ptCount val="29"/>
                <c:pt idx="0">
                  <c:v>-0.47699999999999998</c:v>
                </c:pt>
                <c:pt idx="1">
                  <c:v>-0.69599999999999995</c:v>
                </c:pt>
                <c:pt idx="2">
                  <c:v>3.363</c:v>
                </c:pt>
                <c:pt idx="3">
                  <c:v>4.1500000000000004</c:v>
                </c:pt>
                <c:pt idx="4">
                  <c:v>3.089</c:v>
                </c:pt>
                <c:pt idx="5">
                  <c:v>2.2599999999999998</c:v>
                </c:pt>
                <c:pt idx="6">
                  <c:v>1.819</c:v>
                </c:pt>
                <c:pt idx="7">
                  <c:v>-0.16600000000000001</c:v>
                </c:pt>
                <c:pt idx="8">
                  <c:v>0.86399999999999999</c:v>
                </c:pt>
                <c:pt idx="9">
                  <c:v>3.1E-2</c:v>
                </c:pt>
                <c:pt idx="10">
                  <c:v>-0.153</c:v>
                </c:pt>
                <c:pt idx="11">
                  <c:v>-0.20599999999999999</c:v>
                </c:pt>
                <c:pt idx="12">
                  <c:v>0.34100000000000003</c:v>
                </c:pt>
                <c:pt idx="13">
                  <c:v>-0.90900000000000003</c:v>
                </c:pt>
                <c:pt idx="14">
                  <c:v>-0.44500000000000001</c:v>
                </c:pt>
                <c:pt idx="15">
                  <c:v>-0.14099999999999999</c:v>
                </c:pt>
                <c:pt idx="16">
                  <c:v>0.69</c:v>
                </c:pt>
                <c:pt idx="17">
                  <c:v>-7.1999999999999995E-2</c:v>
                </c:pt>
                <c:pt idx="18">
                  <c:v>-0.26500000000000001</c:v>
                </c:pt>
                <c:pt idx="19">
                  <c:v>-0.29699999999999999</c:v>
                </c:pt>
                <c:pt idx="20">
                  <c:v>-0.5</c:v>
                </c:pt>
                <c:pt idx="21">
                  <c:v>-0.5</c:v>
                </c:pt>
                <c:pt idx="22">
                  <c:v>-0.48362563400000003</c:v>
                </c:pt>
                <c:pt idx="23">
                  <c:v>-0.54155869499999998</c:v>
                </c:pt>
                <c:pt idx="24">
                  <c:v>-0.60946443699999997</c:v>
                </c:pt>
                <c:pt idx="25">
                  <c:v>-0.53812929200000004</c:v>
                </c:pt>
                <c:pt idx="26">
                  <c:v>-0.45395933700000002</c:v>
                </c:pt>
                <c:pt idx="27">
                  <c:v>-0.392152373</c:v>
                </c:pt>
                <c:pt idx="28">
                  <c:v>-0.37200515499999998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67232"/>
        <c:axId val="139168768"/>
      </c:lineChart>
      <c:catAx>
        <c:axId val="139167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39168768"/>
        <c:crosses val="autoZero"/>
        <c:auto val="1"/>
        <c:lblAlgn val="ctr"/>
        <c:lblOffset val="100"/>
        <c:noMultiLvlLbl val="0"/>
      </c:catAx>
      <c:valAx>
        <c:axId val="139168768"/>
        <c:scaling>
          <c:orientation val="minMax"/>
          <c:min val="-4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39167232"/>
        <c:crosses val="autoZero"/>
        <c:crossBetween val="between"/>
        <c:majorUnit val="2"/>
      </c:valAx>
    </c:plotArea>
    <c:legend>
      <c:legendPos val="r"/>
      <c:layout>
        <c:manualLayout>
          <c:xMode val="edge"/>
          <c:yMode val="edge"/>
          <c:x val="0.77870594521945413"/>
          <c:y val="5.9137829867983084E-2"/>
          <c:w val="0.20996453182962366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IPC!$I$1</c:f>
              <c:strCache>
                <c:ptCount val="1"/>
                <c:pt idx="0">
                  <c:v>IPC  (a/a, %)</c:v>
                </c:pt>
              </c:strCache>
            </c:strRef>
          </c:tx>
          <c:marker>
            <c:symbol val="none"/>
          </c:marker>
          <c:cat>
            <c:strRef>
              <c:f>IPC!$A$14:$A$30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IPC!$I$14:$I$30</c:f>
              <c:numCache>
                <c:formatCode>0.00</c:formatCode>
                <c:ptCount val="17"/>
                <c:pt idx="0">
                  <c:v>3.3366953476207328</c:v>
                </c:pt>
                <c:pt idx="1">
                  <c:v>3.5604966749847193</c:v>
                </c:pt>
                <c:pt idx="2">
                  <c:v>4.3225958465072551</c:v>
                </c:pt>
                <c:pt idx="3">
                  <c:v>4.4692435672035797</c:v>
                </c:pt>
                <c:pt idx="4">
                  <c:v>4.8487587503910898</c:v>
                </c:pt>
                <c:pt idx="5">
                  <c:v>4.3600039932344474</c:v>
                </c:pt>
                <c:pt idx="6">
                  <c:v>4.2298463849922694</c:v>
                </c:pt>
                <c:pt idx="7">
                  <c:v>3.4447695977075226</c:v>
                </c:pt>
                <c:pt idx="8">
                  <c:v>2.5902561461804874</c:v>
                </c:pt>
                <c:pt idx="9">
                  <c:v>3.9767522995049132</c:v>
                </c:pt>
                <c:pt idx="10">
                  <c:v>3.9203253987440441</c:v>
                </c:pt>
                <c:pt idx="11">
                  <c:v>4.0425613186366371</c:v>
                </c:pt>
                <c:pt idx="12">
                  <c:v>3.9937255310557647</c:v>
                </c:pt>
                <c:pt idx="13">
                  <c:v>2.7490737661795768</c:v>
                </c:pt>
                <c:pt idx="14">
                  <c:v>2.5618751101512238</c:v>
                </c:pt>
                <c:pt idx="15">
                  <c:v>2.8020984853711353</c:v>
                </c:pt>
                <c:pt idx="16">
                  <c:v>3.000319253557743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IPC!$J$1</c:f>
              <c:strCache>
                <c:ptCount val="1"/>
                <c:pt idx="0">
                  <c:v> IPoM Abr (IRIS maneja diff en logs)</c:v>
                </c:pt>
              </c:strCache>
            </c:strRef>
          </c:tx>
          <c:marker>
            <c:symbol val="none"/>
          </c:marker>
          <c:cat>
            <c:strRef>
              <c:f>IPC!$A$14:$A$30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IPC!$J$14:$J$30</c:f>
            </c:numRef>
          </c:val>
          <c:smooth val="0"/>
        </c:ser>
        <c:ser>
          <c:idx val="2"/>
          <c:order val="2"/>
          <c:tx>
            <c:strRef>
              <c:f>IPC!$K$1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IPC!$A$14:$A$30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IPC!$K$14:$K$30</c:f>
              <c:numCache>
                <c:formatCode>0.00</c:formatCode>
                <c:ptCount val="17"/>
                <c:pt idx="0">
                  <c:v>3.3366955629893891</c:v>
                </c:pt>
                <c:pt idx="1">
                  <c:v>3.5604972036019422</c:v>
                </c:pt>
                <c:pt idx="2">
                  <c:v>4.3225963286212643</c:v>
                </c:pt>
                <c:pt idx="3">
                  <c:v>4.4692433410175481</c:v>
                </c:pt>
                <c:pt idx="4">
                  <c:v>4.8487584407719053</c:v>
                </c:pt>
                <c:pt idx="5">
                  <c:v>4.3600037276937176</c:v>
                </c:pt>
                <c:pt idx="6">
                  <c:v>4.2298457644021292</c:v>
                </c:pt>
                <c:pt idx="7">
                  <c:v>3.4447698860657239</c:v>
                </c:pt>
                <c:pt idx="8">
                  <c:v>2.6611004036477315</c:v>
                </c:pt>
                <c:pt idx="9">
                  <c:v>4.1141409015823971</c:v>
                </c:pt>
                <c:pt idx="10">
                  <c:v>4.2761956141068147</c:v>
                </c:pt>
                <c:pt idx="11">
                  <c:v>4.3571662177684711</c:v>
                </c:pt>
                <c:pt idx="12">
                  <c:v>4.0633455958850373</c:v>
                </c:pt>
                <c:pt idx="13">
                  <c:v>2.8385595909244943</c:v>
                </c:pt>
                <c:pt idx="14">
                  <c:v>2.4426957089073831</c:v>
                </c:pt>
                <c:pt idx="15">
                  <c:v>2.7539192281013536</c:v>
                </c:pt>
                <c:pt idx="16">
                  <c:v>2.9945275245046865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908480"/>
        <c:axId val="235988096"/>
      </c:lineChart>
      <c:catAx>
        <c:axId val="235908480"/>
        <c:scaling>
          <c:orientation val="minMax"/>
        </c:scaling>
        <c:delete val="0"/>
        <c:axPos val="b"/>
        <c:numFmt formatCode="00" sourceLinked="1"/>
        <c:majorTickMark val="out"/>
        <c:minorTickMark val="none"/>
        <c:tickLblPos val="nextTo"/>
        <c:crossAx val="235988096"/>
        <c:crosses val="autoZero"/>
        <c:auto val="1"/>
        <c:lblAlgn val="ctr"/>
        <c:lblOffset val="100"/>
        <c:noMultiLvlLbl val="0"/>
      </c:catAx>
      <c:valAx>
        <c:axId val="235988096"/>
        <c:scaling>
          <c:orientation val="minMax"/>
          <c:min val="2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35908480"/>
        <c:crosses val="autoZero"/>
        <c:crossBetween val="between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7185501024878744"/>
          <c:y val="9.8386708111008719E-2"/>
          <c:w val="0.20113837612731347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IPC!$I$32</c:f>
              <c:strCache>
                <c:ptCount val="1"/>
                <c:pt idx="0">
                  <c:v>IPC SV (a/a,%)</c:v>
                </c:pt>
              </c:strCache>
            </c:strRef>
          </c:tx>
          <c:marker>
            <c:symbol val="none"/>
          </c:marker>
          <c:cat>
            <c:strRef>
              <c:f>IPC!$A$45:$A$61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IPC!$I$45:$I$61</c:f>
              <c:numCache>
                <c:formatCode>0.00</c:formatCode>
                <c:ptCount val="17"/>
                <c:pt idx="0">
                  <c:v>4.0423233567014449</c:v>
                </c:pt>
                <c:pt idx="1">
                  <c:v>3.3950453782611163</c:v>
                </c:pt>
                <c:pt idx="2">
                  <c:v>3.6320565976367476</c:v>
                </c:pt>
                <c:pt idx="3">
                  <c:v>4.2027061259512459</c:v>
                </c:pt>
                <c:pt idx="4">
                  <c:v>3.9083965698035619</c:v>
                </c:pt>
                <c:pt idx="5">
                  <c:v>3.6318608491144819</c:v>
                </c:pt>
                <c:pt idx="6">
                  <c:v>3.9358971944631622</c:v>
                </c:pt>
                <c:pt idx="7">
                  <c:v>3.3920116049373767</c:v>
                </c:pt>
                <c:pt idx="8">
                  <c:v>3.3819468088317408</c:v>
                </c:pt>
                <c:pt idx="9">
                  <c:v>3.3607492213514401</c:v>
                </c:pt>
                <c:pt idx="10">
                  <c:v>3.2655904005288536</c:v>
                </c:pt>
                <c:pt idx="11">
                  <c:v>3.2539189889688327</c:v>
                </c:pt>
                <c:pt idx="12">
                  <c:v>3.2800754423662126</c:v>
                </c:pt>
                <c:pt idx="13">
                  <c:v>3.2725130838471248</c:v>
                </c:pt>
                <c:pt idx="14">
                  <c:v>3.0005990718402589</c:v>
                </c:pt>
                <c:pt idx="15">
                  <c:v>3.0089306933429292</c:v>
                </c:pt>
                <c:pt idx="16">
                  <c:v>3.0403516346471742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IPC!$J$32</c:f>
              <c:strCache>
                <c:ptCount val="1"/>
                <c:pt idx="0">
                  <c:v> IPoM Abr (IRIS maneja diff en logs)</c:v>
                </c:pt>
              </c:strCache>
            </c:strRef>
          </c:tx>
          <c:marker>
            <c:symbol val="none"/>
          </c:marker>
          <c:cat>
            <c:strRef>
              <c:f>IPC!$A$45:$A$61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IPC!$J$45:$J$61</c:f>
            </c:numRef>
          </c:val>
          <c:smooth val="0"/>
        </c:ser>
        <c:ser>
          <c:idx val="2"/>
          <c:order val="2"/>
          <c:tx>
            <c:strRef>
              <c:f>IPC!$K$32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IPC!$A$45:$A$61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IPC!$K$45:$K$61</c:f>
              <c:numCache>
                <c:formatCode>0.00</c:formatCode>
                <c:ptCount val="17"/>
                <c:pt idx="0">
                  <c:v>4.0423238017623708</c:v>
                </c:pt>
                <c:pt idx="1">
                  <c:v>3.3950455953818404</c:v>
                </c:pt>
                <c:pt idx="2">
                  <c:v>3.6320563289329089</c:v>
                </c:pt>
                <c:pt idx="3">
                  <c:v>4.2028308053431163</c:v>
                </c:pt>
                <c:pt idx="4">
                  <c:v>3.9082954871769493</c:v>
                </c:pt>
                <c:pt idx="5">
                  <c:v>3.6318615008502197</c:v>
                </c:pt>
                <c:pt idx="6">
                  <c:v>3.9358971958030731</c:v>
                </c:pt>
                <c:pt idx="7">
                  <c:v>3.3920120292467271</c:v>
                </c:pt>
                <c:pt idx="8">
                  <c:v>3.3997998088768799</c:v>
                </c:pt>
                <c:pt idx="9">
                  <c:v>3.3822264384185008</c:v>
                </c:pt>
                <c:pt idx="10">
                  <c:v>3.2865635957196604</c:v>
                </c:pt>
                <c:pt idx="11">
                  <c:v>3.2732859286106031</c:v>
                </c:pt>
                <c:pt idx="12">
                  <c:v>3.2818899844582194</c:v>
                </c:pt>
                <c:pt idx="13">
                  <c:v>3.2695619610634941</c:v>
                </c:pt>
                <c:pt idx="14">
                  <c:v>2.9969087855082899</c:v>
                </c:pt>
                <c:pt idx="15">
                  <c:v>3.0060110245141436</c:v>
                </c:pt>
                <c:pt idx="16">
                  <c:v>2.883544842784036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89536"/>
        <c:axId val="193103360"/>
      </c:lineChart>
      <c:catAx>
        <c:axId val="193089536"/>
        <c:scaling>
          <c:orientation val="minMax"/>
        </c:scaling>
        <c:delete val="0"/>
        <c:axPos val="b"/>
        <c:numFmt formatCode="00" sourceLinked="1"/>
        <c:majorTickMark val="out"/>
        <c:minorTickMark val="none"/>
        <c:tickLblPos val="nextTo"/>
        <c:crossAx val="193103360"/>
        <c:crosses val="autoZero"/>
        <c:auto val="1"/>
        <c:lblAlgn val="ctr"/>
        <c:lblOffset val="100"/>
        <c:noMultiLvlLbl val="0"/>
      </c:catAx>
      <c:valAx>
        <c:axId val="193103360"/>
        <c:scaling>
          <c:orientation val="minMax"/>
          <c:max val="5"/>
          <c:min val="2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93089536"/>
        <c:crosses val="autoZero"/>
        <c:crossBetween val="between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7185501024878744"/>
          <c:y val="9.8386708111008719E-2"/>
          <c:w val="0.22077954967196728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TPM!$B$1</c:f>
              <c:strCache>
                <c:ptCount val="1"/>
                <c:pt idx="0">
                  <c:v> IPoM Mar.26</c:v>
                </c:pt>
              </c:strCache>
            </c:strRef>
          </c:tx>
          <c:marker>
            <c:symbol val="none"/>
          </c:marker>
          <c:cat>
            <c:strRef>
              <c:f>TPM!$A$18:$A$30</c:f>
              <c:strCache>
                <c:ptCount val="13"/>
                <c:pt idx="0">
                  <c:v>25</c:v>
                </c:pt>
                <c:pt idx="4">
                  <c:v>26</c:v>
                </c:pt>
                <c:pt idx="8">
                  <c:v>27</c:v>
                </c:pt>
                <c:pt idx="12">
                  <c:v>28</c:v>
                </c:pt>
              </c:strCache>
            </c:strRef>
          </c:cat>
          <c:val>
            <c:numRef>
              <c:f>TPM!$B$18:$B$30</c:f>
              <c:numCache>
                <c:formatCode>0.00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4.8306451612903203</c:v>
                </c:pt>
                <c:pt idx="3">
                  <c:v>4.7137096774193497</c:v>
                </c:pt>
                <c:pt idx="4">
                  <c:v>4.5</c:v>
                </c:pt>
                <c:pt idx="5">
                  <c:v>4.53</c:v>
                </c:pt>
                <c:pt idx="6">
                  <c:v>4.75</c:v>
                </c:pt>
                <c:pt idx="7">
                  <c:v>4.5599999999999996</c:v>
                </c:pt>
                <c:pt idx="8">
                  <c:v>4.32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4.25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TPM!$C$1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TPM!$A$18:$A$30</c:f>
              <c:strCache>
                <c:ptCount val="13"/>
                <c:pt idx="0">
                  <c:v>25</c:v>
                </c:pt>
                <c:pt idx="4">
                  <c:v>26</c:v>
                </c:pt>
                <c:pt idx="8">
                  <c:v>27</c:v>
                </c:pt>
                <c:pt idx="12">
                  <c:v>28</c:v>
                </c:pt>
              </c:strCache>
            </c:strRef>
          </c:cat>
          <c:val>
            <c:numRef>
              <c:f>TPM!$C$18:$C$30</c:f>
              <c:numCache>
                <c:formatCode>0.00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4.8266666699999998</c:v>
                </c:pt>
                <c:pt idx="3">
                  <c:v>4.7133333300000002</c:v>
                </c:pt>
                <c:pt idx="4">
                  <c:v>4.49416013</c:v>
                </c:pt>
                <c:pt idx="5">
                  <c:v>4.5235812600000003</c:v>
                </c:pt>
                <c:pt idx="6">
                  <c:v>4.7492864800000003</c:v>
                </c:pt>
                <c:pt idx="7">
                  <c:v>4.5815839799999996</c:v>
                </c:pt>
                <c:pt idx="8">
                  <c:v>4.3247540000000004</c:v>
                </c:pt>
                <c:pt idx="9">
                  <c:v>4.2280094799999999</c:v>
                </c:pt>
                <c:pt idx="10">
                  <c:v>4.2395048099999997</c:v>
                </c:pt>
                <c:pt idx="11">
                  <c:v>4.2405462500000004</c:v>
                </c:pt>
                <c:pt idx="12">
                  <c:v>4.2107615000000003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93792"/>
        <c:axId val="149396096"/>
      </c:lineChart>
      <c:catAx>
        <c:axId val="14939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9396096"/>
        <c:crosses val="autoZero"/>
        <c:auto val="1"/>
        <c:lblAlgn val="ctr"/>
        <c:lblOffset val="100"/>
        <c:noMultiLvlLbl val="0"/>
      </c:catAx>
      <c:valAx>
        <c:axId val="149396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939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911067366579185"/>
          <c:y val="0.10146799358413532"/>
          <c:w val="0.20960822911841903"/>
          <c:h val="0.14701555598233149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MateriaPrima!$E$3</c:f>
              <c:strCache>
                <c:ptCount val="1"/>
                <c:pt idx="0">
                  <c:v>Año</c:v>
                </c:pt>
              </c:strCache>
            </c:strRef>
          </c:tx>
          <c:marker>
            <c:symbol val="none"/>
          </c:marker>
          <c:cat>
            <c:strRef>
              <c:f>MateriaPrima!$E$4:$E$31</c:f>
              <c:strCache>
                <c:ptCount val="25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</c:strCache>
            </c:strRef>
          </c:cat>
          <c:val>
            <c:numRef>
              <c:f>MateriaPrima!$E$4:$E$31</c:f>
              <c:numCache>
                <c:formatCode>@</c:formatCode>
                <c:ptCount val="28"/>
                <c:pt idx="0">
                  <c:v>0</c:v>
                </c:pt>
                <c:pt idx="4">
                  <c:v>0</c:v>
                </c:pt>
                <c:pt idx="8">
                  <c:v>0</c:v>
                </c:pt>
                <c:pt idx="12">
                  <c:v>0</c:v>
                </c:pt>
                <c:pt idx="16">
                  <c:v>0</c:v>
                </c:pt>
                <c:pt idx="20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MateriaPrima!$F$3</c:f>
              <c:strCache>
                <c:ptCount val="1"/>
                <c:pt idx="0">
                  <c:v>IPoM Mar.26</c:v>
                </c:pt>
              </c:strCache>
            </c:strRef>
          </c:tx>
          <c:marker>
            <c:symbol val="none"/>
          </c:marker>
          <c:cat>
            <c:strRef>
              <c:f>MateriaPrima!$E$4:$E$31</c:f>
              <c:strCache>
                <c:ptCount val="25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</c:strCache>
            </c:strRef>
          </c:cat>
          <c:val>
            <c:numRef>
              <c:f>MateriaPrima!$F$4:$F$31</c:f>
              <c:numCache>
                <c:formatCode>0.00</c:formatCode>
                <c:ptCount val="28"/>
                <c:pt idx="0">
                  <c:v>57.79</c:v>
                </c:pt>
                <c:pt idx="1">
                  <c:v>66.09</c:v>
                </c:pt>
                <c:pt idx="2">
                  <c:v>70.623333299999999</c:v>
                </c:pt>
                <c:pt idx="3">
                  <c:v>77.446666699999994</c:v>
                </c:pt>
                <c:pt idx="4">
                  <c:v>94.453333299999997</c:v>
                </c:pt>
                <c:pt idx="5">
                  <c:v>108.723333</c:v>
                </c:pt>
                <c:pt idx="6">
                  <c:v>93.183333300000001</c:v>
                </c:pt>
                <c:pt idx="7">
                  <c:v>82.786666699999998</c:v>
                </c:pt>
                <c:pt idx="8">
                  <c:v>76.076666700000004</c:v>
                </c:pt>
                <c:pt idx="9">
                  <c:v>73.760000000000005</c:v>
                </c:pt>
                <c:pt idx="10">
                  <c:v>82.296666700000003</c:v>
                </c:pt>
                <c:pt idx="11">
                  <c:v>78.41</c:v>
                </c:pt>
                <c:pt idx="12">
                  <c:v>77.56</c:v>
                </c:pt>
                <c:pt idx="13">
                  <c:v>81.713333300000002</c:v>
                </c:pt>
                <c:pt idx="14">
                  <c:v>76.239999999999995</c:v>
                </c:pt>
                <c:pt idx="15">
                  <c:v>70.686666700000004</c:v>
                </c:pt>
                <c:pt idx="16">
                  <c:v>71.836666699999995</c:v>
                </c:pt>
                <c:pt idx="17">
                  <c:v>64.626666700000001</c:v>
                </c:pt>
                <c:pt idx="18">
                  <c:v>65.736666700000001</c:v>
                </c:pt>
                <c:pt idx="19">
                  <c:v>59.64</c:v>
                </c:pt>
                <c:pt idx="20">
                  <c:v>82.5</c:v>
                </c:pt>
                <c:pt idx="21">
                  <c:v>88.6</c:v>
                </c:pt>
                <c:pt idx="22">
                  <c:v>87.5</c:v>
                </c:pt>
                <c:pt idx="23">
                  <c:v>85.6</c:v>
                </c:pt>
                <c:pt idx="24">
                  <c:v>78</c:v>
                </c:pt>
                <c:pt idx="25">
                  <c:v>75.2</c:v>
                </c:pt>
                <c:pt idx="26">
                  <c:v>73.3</c:v>
                </c:pt>
                <c:pt idx="27">
                  <c:v>72.400000000000006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MateriaPrima!$G$3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MateriaPrima!$E$4:$E$31</c:f>
              <c:strCache>
                <c:ptCount val="25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</c:strCache>
            </c:strRef>
          </c:cat>
          <c:val>
            <c:numRef>
              <c:f>MateriaPrima!$G$4:$G$31</c:f>
              <c:numCache>
                <c:formatCode>#,#00</c:formatCode>
                <c:ptCount val="28"/>
                <c:pt idx="0">
                  <c:v>57.79</c:v>
                </c:pt>
                <c:pt idx="1">
                  <c:v>66.090000500000002</c:v>
                </c:pt>
                <c:pt idx="2">
                  <c:v>70.623333700000003</c:v>
                </c:pt>
                <c:pt idx="3">
                  <c:v>77.446666800000003</c:v>
                </c:pt>
                <c:pt idx="4">
                  <c:v>94.453333599999993</c:v>
                </c:pt>
                <c:pt idx="5">
                  <c:v>108.723333</c:v>
                </c:pt>
                <c:pt idx="6">
                  <c:v>93.183333000000005</c:v>
                </c:pt>
                <c:pt idx="7">
                  <c:v>82.786666699999998</c:v>
                </c:pt>
                <c:pt idx="8">
                  <c:v>76.076666599999996</c:v>
                </c:pt>
                <c:pt idx="9">
                  <c:v>73.760000199999993</c:v>
                </c:pt>
                <c:pt idx="10">
                  <c:v>82.296667299999996</c:v>
                </c:pt>
                <c:pt idx="11">
                  <c:v>78.409999499999998</c:v>
                </c:pt>
                <c:pt idx="12">
                  <c:v>77.559999899999994</c:v>
                </c:pt>
                <c:pt idx="13">
                  <c:v>81.713333199999994</c:v>
                </c:pt>
                <c:pt idx="14">
                  <c:v>76.239999900000001</c:v>
                </c:pt>
                <c:pt idx="15">
                  <c:v>70.686666900000006</c:v>
                </c:pt>
                <c:pt idx="16">
                  <c:v>71.836666500000007</c:v>
                </c:pt>
                <c:pt idx="17">
                  <c:v>64.626666499999999</c:v>
                </c:pt>
                <c:pt idx="18">
                  <c:v>65.736666499999998</c:v>
                </c:pt>
                <c:pt idx="19">
                  <c:v>59.640000100000002</c:v>
                </c:pt>
                <c:pt idx="20">
                  <c:v>83.1504434</c:v>
                </c:pt>
                <c:pt idx="21">
                  <c:v>100</c:v>
                </c:pt>
                <c:pt idx="22">
                  <c:v>100</c:v>
                </c:pt>
                <c:pt idx="23">
                  <c:v>90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79520"/>
        <c:axId val="250781056"/>
      </c:lineChart>
      <c:catAx>
        <c:axId val="250779520"/>
        <c:scaling>
          <c:orientation val="minMax"/>
        </c:scaling>
        <c:delete val="0"/>
        <c:axPos val="b"/>
        <c:numFmt formatCode="00" sourceLinked="1"/>
        <c:majorTickMark val="out"/>
        <c:minorTickMark val="none"/>
        <c:tickLblPos val="nextTo"/>
        <c:crossAx val="250781056"/>
        <c:crosses val="autoZero"/>
        <c:auto val="1"/>
        <c:lblAlgn val="ctr"/>
        <c:lblOffset val="100"/>
        <c:noMultiLvlLbl val="0"/>
      </c:catAx>
      <c:valAx>
        <c:axId val="250781056"/>
        <c:scaling>
          <c:orientation val="minMax"/>
          <c:min val="50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250779520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8167559702111433"/>
          <c:y val="6.7526198021606407E-2"/>
          <c:w val="0.20441590030325896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703385</xdr:colOff>
      <xdr:row>7</xdr:row>
      <xdr:rowOff>43960</xdr:rowOff>
    </xdr:from>
    <xdr:to>
      <xdr:col>11</xdr:col>
      <xdr:colOff>542192</xdr:colOff>
      <xdr:row>20</xdr:row>
      <xdr:rowOff>36635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41275</xdr:colOff>
      <xdr:row>4</xdr:row>
      <xdr:rowOff>42863</xdr:rowOff>
    </xdr:from>
    <xdr:to>
      <xdr:col>18</xdr:col>
      <xdr:colOff>642082</xdr:colOff>
      <xdr:row>17</xdr:row>
      <xdr:rowOff>35538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600807</xdr:colOff>
      <xdr:row>35</xdr:row>
      <xdr:rowOff>183175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666751</xdr:colOff>
      <xdr:row>5</xdr:row>
      <xdr:rowOff>76200</xdr:rowOff>
    </xdr:from>
    <xdr:to>
      <xdr:col>10</xdr:col>
      <xdr:colOff>514351</xdr:colOff>
      <xdr:row>21</xdr:row>
      <xdr:rowOff>152400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600807</xdr:colOff>
      <xdr:row>14</xdr:row>
      <xdr:rowOff>183175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zoomScale="130" zoomScaleNormal="130" workbookViewId="0">
      <selection activeCell="F7" sqref="F7"/>
    </sheetView>
  </sheetViews>
  <sheetFormatPr baseColWidth="10" defaultRowHeight="15"/>
  <sheetData>
    <row r="1" spans="1:7">
      <c r="A1" s="3"/>
      <c r="B1" s="4"/>
      <c r="C1" s="4"/>
    </row>
    <row r="2" spans="1:7">
      <c r="A2" s="5"/>
      <c r="B2" s="6" t="s">
        <v>129</v>
      </c>
      <c r="C2" s="14" t="s">
        <v>140</v>
      </c>
    </row>
    <row r="3" spans="1:7">
      <c r="A3" s="7" t="s">
        <v>130</v>
      </c>
      <c r="B3" s="8">
        <v>-0.47669450723191176</v>
      </c>
      <c r="C3" s="26">
        <v>-0.47699999999999998</v>
      </c>
    </row>
    <row r="4" spans="1:7">
      <c r="A4" s="7"/>
      <c r="B4" s="8">
        <v>-0.69615980723725102</v>
      </c>
      <c r="C4" s="26">
        <v>-0.69599999999999995</v>
      </c>
    </row>
    <row r="5" spans="1:7">
      <c r="A5" s="7"/>
      <c r="B5" s="8">
        <v>3.3627222355704589</v>
      </c>
      <c r="C5" s="26">
        <v>3.363</v>
      </c>
      <c r="F5" s="15" t="s">
        <v>152</v>
      </c>
      <c r="G5" s="16"/>
    </row>
    <row r="6" spans="1:7">
      <c r="A6" s="7"/>
      <c r="B6" s="8">
        <v>4.1499363394059685</v>
      </c>
      <c r="C6" s="26">
        <v>4.1500000000000004</v>
      </c>
      <c r="F6" s="17" t="s">
        <v>138</v>
      </c>
      <c r="G6" s="16"/>
    </row>
    <row r="7" spans="1:7">
      <c r="A7" s="7" t="s">
        <v>131</v>
      </c>
      <c r="B7" s="8">
        <v>3.0890233908117182</v>
      </c>
      <c r="C7" s="26">
        <v>3.089</v>
      </c>
      <c r="F7" s="17" t="s">
        <v>139</v>
      </c>
      <c r="G7" s="16"/>
    </row>
    <row r="8" spans="1:7">
      <c r="A8" s="7"/>
      <c r="B8" s="8">
        <v>2.2600517661430786</v>
      </c>
      <c r="C8" s="26">
        <v>2.2599999999999998</v>
      </c>
    </row>
    <row r="9" spans="1:7">
      <c r="A9" s="7"/>
      <c r="B9" s="8">
        <v>1.8192647913931381</v>
      </c>
      <c r="C9" s="26">
        <v>1.819</v>
      </c>
    </row>
    <row r="10" spans="1:7">
      <c r="A10" s="7"/>
      <c r="B10" s="8">
        <v>-0.16586607628106265</v>
      </c>
      <c r="C10" s="26">
        <v>-0.16600000000000001</v>
      </c>
    </row>
    <row r="11" spans="1:7">
      <c r="A11" s="10" t="s">
        <v>132</v>
      </c>
      <c r="B11" s="8">
        <v>0.86446165492013449</v>
      </c>
      <c r="C11" s="26">
        <v>0.86399999999999999</v>
      </c>
    </row>
    <row r="12" spans="1:7">
      <c r="A12" s="10"/>
      <c r="B12" s="8">
        <v>3.0521672551486745E-2</v>
      </c>
      <c r="C12" s="26">
        <v>3.1E-2</v>
      </c>
    </row>
    <row r="13" spans="1:7">
      <c r="A13" s="10"/>
      <c r="B13" s="8">
        <v>-0.15273532768063092</v>
      </c>
      <c r="C13" s="26">
        <v>-0.153</v>
      </c>
    </row>
    <row r="14" spans="1:7">
      <c r="A14" s="10"/>
      <c r="B14" s="8">
        <v>-0.20572747498235344</v>
      </c>
      <c r="C14" s="26">
        <v>-0.20599999999999999</v>
      </c>
    </row>
    <row r="15" spans="1:7">
      <c r="A15" s="10" t="s">
        <v>133</v>
      </c>
      <c r="B15" s="8">
        <v>0.34104505183307765</v>
      </c>
      <c r="C15" s="26">
        <v>0.34100000000000003</v>
      </c>
    </row>
    <row r="16" spans="1:7">
      <c r="A16" s="10"/>
      <c r="B16" s="8">
        <v>-0.90931071370832228</v>
      </c>
      <c r="C16" s="26">
        <v>-0.90900000000000003</v>
      </c>
    </row>
    <row r="17" spans="1:3">
      <c r="A17" s="10"/>
      <c r="B17" s="8">
        <v>-0.44498129029477695</v>
      </c>
      <c r="C17" s="26">
        <v>-0.44500000000000001</v>
      </c>
    </row>
    <row r="18" spans="1:3">
      <c r="A18" s="10"/>
      <c r="B18" s="8">
        <v>-0.14050141099772873</v>
      </c>
      <c r="C18" s="26">
        <v>-0.14099999999999999</v>
      </c>
    </row>
    <row r="19" spans="1:3">
      <c r="A19" s="10" t="s">
        <v>134</v>
      </c>
      <c r="B19" s="8">
        <v>0.69031174380569382</v>
      </c>
      <c r="C19" s="26">
        <v>0.69</v>
      </c>
    </row>
    <row r="20" spans="1:3">
      <c r="A20" s="10"/>
      <c r="B20" s="8">
        <v>-7.2477643382384827E-2</v>
      </c>
      <c r="C20" s="26">
        <v>-7.1999999999999995E-2</v>
      </c>
    </row>
    <row r="21" spans="1:3">
      <c r="A21" s="10"/>
      <c r="B21" s="8">
        <v>-0.26531174994275375</v>
      </c>
      <c r="C21" s="26">
        <v>-0.26500000000000001</v>
      </c>
    </row>
    <row r="22" spans="1:3">
      <c r="A22" s="10"/>
      <c r="B22" s="8">
        <v>-0.29666650219297708</v>
      </c>
      <c r="C22" s="26">
        <v>-0.29699999999999999</v>
      </c>
    </row>
    <row r="23" spans="1:3">
      <c r="A23" s="10" t="s">
        <v>135</v>
      </c>
      <c r="B23" s="8">
        <v>-0.38531515822377571</v>
      </c>
      <c r="C23" s="26">
        <v>-0.5</v>
      </c>
    </row>
    <row r="24" spans="1:3">
      <c r="A24" s="10"/>
      <c r="B24" s="8">
        <v>-0.36051391006317601</v>
      </c>
      <c r="C24" s="26">
        <v>-0.5</v>
      </c>
    </row>
    <row r="25" spans="1:3">
      <c r="A25" s="10"/>
      <c r="B25" s="8">
        <v>-0.4390126649957658</v>
      </c>
      <c r="C25" s="26">
        <v>-0.48362563400000003</v>
      </c>
    </row>
    <row r="26" spans="1:3">
      <c r="A26" s="10"/>
      <c r="B26" s="8">
        <v>-0.49813742267615191</v>
      </c>
      <c r="C26" s="26">
        <v>-0.54155869499999998</v>
      </c>
    </row>
    <row r="27" spans="1:3">
      <c r="A27" s="10" t="s">
        <v>136</v>
      </c>
      <c r="B27" s="8">
        <v>-0.51635164593622007</v>
      </c>
      <c r="C27" s="26">
        <v>-0.60946443699999997</v>
      </c>
    </row>
    <row r="28" spans="1:3">
      <c r="A28" s="10"/>
      <c r="B28" s="8">
        <v>-0.48235892405238334</v>
      </c>
      <c r="C28" s="26">
        <v>-0.53812929200000004</v>
      </c>
    </row>
    <row r="29" spans="1:3">
      <c r="A29" s="10"/>
      <c r="B29" s="8">
        <v>-0.42452284560311537</v>
      </c>
      <c r="C29" s="26">
        <v>-0.45395933700000002</v>
      </c>
    </row>
    <row r="30" spans="1:3">
      <c r="A30" s="10"/>
      <c r="B30" s="8">
        <v>-0.3729968516990978</v>
      </c>
      <c r="C30" s="26">
        <v>-0.392152373</v>
      </c>
    </row>
    <row r="31" spans="1:3">
      <c r="A31" s="10" t="s">
        <v>137</v>
      </c>
      <c r="B31" s="8">
        <v>-0.30020776326316834</v>
      </c>
      <c r="C31" s="26">
        <v>-0.37200515499999998</v>
      </c>
    </row>
    <row r="32" spans="1:3">
      <c r="A32" s="11"/>
      <c r="B32" s="9"/>
      <c r="C32" s="9"/>
    </row>
    <row r="33" spans="1:3">
      <c r="A33" s="11"/>
      <c r="B33" s="9"/>
      <c r="C33" s="9"/>
    </row>
    <row r="34" spans="1:3">
      <c r="A34" s="11"/>
      <c r="B34" s="9"/>
      <c r="C34" s="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zoomScale="130" zoomScaleNormal="130" workbookViewId="0">
      <selection activeCell="M20" sqref="M20"/>
    </sheetView>
  </sheetViews>
  <sheetFormatPr baseColWidth="10" defaultRowHeight="15"/>
  <cols>
    <col min="1" max="1" width="7.85546875" customWidth="1"/>
    <col min="2" max="2" width="0.28515625" hidden="1" customWidth="1"/>
    <col min="3" max="3" width="4.42578125" hidden="1" customWidth="1"/>
    <col min="4" max="5" width="3.5703125" hidden="1" customWidth="1"/>
    <col min="6" max="7" width="3.42578125" hidden="1" customWidth="1"/>
    <col min="8" max="8" width="7.42578125" hidden="1" customWidth="1"/>
    <col min="9" max="9" width="11.85546875" customWidth="1"/>
    <col min="10" max="10" width="33.85546875" hidden="1" customWidth="1"/>
  </cols>
  <sheetData>
    <row r="1" spans="1:14">
      <c r="A1" s="20"/>
      <c r="B1" s="20" t="s">
        <v>141</v>
      </c>
      <c r="C1" s="21">
        <v>-90</v>
      </c>
      <c r="D1" s="21">
        <v>-70.000000000000014</v>
      </c>
      <c r="E1" s="21">
        <v>-10</v>
      </c>
      <c r="F1" s="21">
        <v>10</v>
      </c>
      <c r="G1" s="21">
        <v>70.000000000000014</v>
      </c>
      <c r="H1" s="21">
        <v>89.999999999999986</v>
      </c>
      <c r="I1" s="20" t="s">
        <v>141</v>
      </c>
      <c r="J1" s="39" t="s">
        <v>151</v>
      </c>
      <c r="K1" s="39" t="s">
        <v>140</v>
      </c>
    </row>
    <row r="2" spans="1:14">
      <c r="A2" s="28" t="s">
        <v>130</v>
      </c>
      <c r="B2" s="23">
        <v>2.9471597861513601</v>
      </c>
      <c r="C2" s="23">
        <v>2.9471597861513601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13">
        <v>2.9471597861513601</v>
      </c>
      <c r="J2" s="1">
        <v>2.9045658799999998</v>
      </c>
      <c r="K2" s="43">
        <f xml:space="preserve"> 100*(EXP(('Base completa_fcast_alt'!E15-'Base completa_fcast_alt'!E11)/100) - 1)</f>
        <v>2.9471599075221233</v>
      </c>
      <c r="L2" s="24"/>
      <c r="M2" s="30" t="s">
        <v>150</v>
      </c>
      <c r="N2" s="31"/>
    </row>
    <row r="3" spans="1:14">
      <c r="A3" s="28"/>
      <c r="B3" s="23">
        <v>3.5896625365792403</v>
      </c>
      <c r="C3" s="23">
        <v>3.5896625365792403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13">
        <v>3.5896625365792403</v>
      </c>
      <c r="J3" s="1">
        <v>3.5267356400000001</v>
      </c>
      <c r="K3" s="43">
        <f xml:space="preserve"> 100*(EXP(('Base completa_fcast_alt'!E16-'Base completa_fcast_alt'!E12)/100) - 1)</f>
        <v>3.589662910202418</v>
      </c>
      <c r="L3" s="24"/>
      <c r="M3" s="27" t="s">
        <v>143</v>
      </c>
      <c r="N3" s="32"/>
    </row>
    <row r="4" spans="1:14">
      <c r="A4" s="28"/>
      <c r="B4" s="23">
        <v>4.8867841965034415</v>
      </c>
      <c r="C4" s="23">
        <v>4.8867841965034415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13">
        <v>4.8867841965034415</v>
      </c>
      <c r="J4" s="1">
        <v>4.7711336700000002</v>
      </c>
      <c r="K4" s="43">
        <f xml:space="preserve"> 100*(EXP(('Base completa_fcast_alt'!E17-'Base completa_fcast_alt'!E13)/100) - 1)</f>
        <v>4.8867845429759527</v>
      </c>
      <c r="L4" s="24"/>
      <c r="M4" s="27" t="s">
        <v>144</v>
      </c>
      <c r="N4" s="32"/>
    </row>
    <row r="5" spans="1:14">
      <c r="A5" s="28"/>
      <c r="B5" s="23">
        <v>6.6336409922742519</v>
      </c>
      <c r="C5" s="23">
        <v>6.6336409922742519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13">
        <v>6.6336409922742519</v>
      </c>
      <c r="J5" s="1">
        <v>6.4228857499999998</v>
      </c>
      <c r="K5" s="43">
        <f xml:space="preserve"> 100*(EXP(('Base completa_fcast_alt'!E18-'Base completa_fcast_alt'!E14)/100) - 1)</f>
        <v>6.6336412589323102</v>
      </c>
      <c r="L5" s="24"/>
    </row>
    <row r="6" spans="1:14">
      <c r="A6" s="28" t="s">
        <v>131</v>
      </c>
      <c r="B6" s="23">
        <v>8.3096347529532153</v>
      </c>
      <c r="C6" s="23">
        <v>8.3096347529532153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13">
        <v>8.3096347529532153</v>
      </c>
      <c r="J6" s="1">
        <v>7.9823927599999998</v>
      </c>
      <c r="K6" s="43">
        <f xml:space="preserve"> 100*(EXP(('Base completa_fcast_alt'!E19-'Base completa_fcast_alt'!E15)/100) - 1)</f>
        <v>8.3096350111266482</v>
      </c>
      <c r="L6" s="24"/>
    </row>
    <row r="7" spans="1:14">
      <c r="A7" s="28"/>
      <c r="B7" s="23">
        <v>11.519063952885887</v>
      </c>
      <c r="C7" s="23">
        <v>11.519063952885887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13">
        <v>11.519063952885887</v>
      </c>
      <c r="J7" s="1">
        <v>10.902536700000001</v>
      </c>
      <c r="K7" s="43">
        <f xml:space="preserve"> 100*(EXP(('Base completa_fcast_alt'!E20-'Base completa_fcast_alt'!E16)/100) - 1)</f>
        <v>11.519063121725237</v>
      </c>
      <c r="L7" s="24"/>
    </row>
    <row r="8" spans="1:14">
      <c r="A8" s="28"/>
      <c r="B8" s="23">
        <v>13.647859538168007</v>
      </c>
      <c r="C8" s="23">
        <v>13.647859538168007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13">
        <v>13.647859538168007</v>
      </c>
      <c r="J8" s="1">
        <v>12.793453</v>
      </c>
      <c r="K8" s="43">
        <f xml:space="preserve"> 100*(EXP(('Base completa_fcast_alt'!E21-'Base completa_fcast_alt'!E17)/100) - 1)</f>
        <v>13.647859500773606</v>
      </c>
      <c r="L8" s="24"/>
    </row>
    <row r="9" spans="1:14">
      <c r="A9" s="28"/>
      <c r="B9" s="23">
        <v>12.976356314931351</v>
      </c>
      <c r="C9" s="23">
        <v>12.976356314931351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13">
        <v>12.976356314931351</v>
      </c>
      <c r="J9" s="1">
        <v>12.2008375</v>
      </c>
      <c r="K9" s="43">
        <f xml:space="preserve"> 100*(EXP(('Base completa_fcast_alt'!E22-'Base completa_fcast_alt'!E18)/100) - 1)</f>
        <v>12.976355786172466</v>
      </c>
      <c r="L9" s="24"/>
    </row>
    <row r="10" spans="1:14">
      <c r="A10" s="29" t="s">
        <v>132</v>
      </c>
      <c r="B10" s="23">
        <v>11.901671966982235</v>
      </c>
      <c r="C10" s="23">
        <v>11.901671966982235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13">
        <v>11.901671966982235</v>
      </c>
      <c r="J10" s="1">
        <v>11.245037099999999</v>
      </c>
      <c r="K10" s="43">
        <f xml:space="preserve"> 100*(EXP(('Base completa_fcast_alt'!E23-'Base completa_fcast_alt'!E19)/100) - 1)</f>
        <v>11.901671873486164</v>
      </c>
      <c r="L10" s="24"/>
    </row>
    <row r="11" spans="1:14">
      <c r="A11" s="29"/>
      <c r="B11" s="23">
        <v>8.6905467200379576</v>
      </c>
      <c r="C11" s="23">
        <v>8.6905467200379576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13">
        <v>8.6905467200379576</v>
      </c>
      <c r="J11" s="1">
        <v>8.3334637699999998</v>
      </c>
      <c r="K11" s="43">
        <f xml:space="preserve"> 100*(EXP(('Base completa_fcast_alt'!E24-'Base completa_fcast_alt'!E20)/100) - 1)</f>
        <v>8.6905469743448158</v>
      </c>
      <c r="L11" s="24"/>
    </row>
    <row r="12" spans="1:14">
      <c r="A12" s="29"/>
      <c r="B12" s="23">
        <v>5.2226591466458103</v>
      </c>
      <c r="C12" s="23">
        <v>5.2226591466458103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13">
        <v>5.2226591466458103</v>
      </c>
      <c r="J12" s="1">
        <v>5.0908482199999998</v>
      </c>
      <c r="K12" s="43">
        <f xml:space="preserve"> 100*(EXP(('Base completa_fcast_alt'!E25-'Base completa_fcast_alt'!E21)/100) - 1)</f>
        <v>5.2226589098957277</v>
      </c>
      <c r="L12" s="24"/>
    </row>
    <row r="13" spans="1:14">
      <c r="A13" s="29"/>
      <c r="B13" s="23">
        <v>4.0125267622269831</v>
      </c>
      <c r="C13" s="23">
        <v>4.0125267622269831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13">
        <v>4.0125267622269831</v>
      </c>
      <c r="J13" s="1">
        <v>3.93411555</v>
      </c>
      <c r="K13" s="43">
        <f xml:space="preserve"> 100*(EXP(('Base completa_fcast_alt'!E26-'Base completa_fcast_alt'!E22)/100) - 1)</f>
        <v>4.0125272264760259</v>
      </c>
      <c r="L13" s="24"/>
    </row>
    <row r="14" spans="1:14">
      <c r="A14" s="29" t="s">
        <v>133</v>
      </c>
      <c r="B14" s="23">
        <v>3.3366953476207328</v>
      </c>
      <c r="C14" s="23">
        <v>3.3366953476207328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13">
        <v>3.3366953476207328</v>
      </c>
      <c r="J14" s="1">
        <v>3.2822357900000001</v>
      </c>
      <c r="K14" s="43">
        <f xml:space="preserve"> 100*(EXP(('Base completa_fcast_alt'!E27-'Base completa_fcast_alt'!E23)/100) - 1)</f>
        <v>3.3366955629893891</v>
      </c>
      <c r="L14" s="24"/>
    </row>
    <row r="15" spans="1:14">
      <c r="A15" s="29"/>
      <c r="B15" s="23">
        <v>3.5604966749847193</v>
      </c>
      <c r="C15" s="23">
        <v>3.5604966749847193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13">
        <v>3.5604966749847193</v>
      </c>
      <c r="J15" s="1">
        <v>3.49857649</v>
      </c>
      <c r="K15" s="43">
        <f xml:space="preserve"> 100*(EXP(('Base completa_fcast_alt'!E28-'Base completa_fcast_alt'!E24)/100) - 1)</f>
        <v>3.5604972036019422</v>
      </c>
      <c r="L15" s="24"/>
    </row>
    <row r="16" spans="1:14">
      <c r="A16" s="29"/>
      <c r="B16" s="23">
        <v>4.3225958465072551</v>
      </c>
      <c r="C16" s="23">
        <v>4.3225958465072551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13">
        <v>4.3225958465072551</v>
      </c>
      <c r="J16" s="1">
        <v>4.2317795399999998</v>
      </c>
      <c r="K16" s="43">
        <f xml:space="preserve"> 100*(EXP(('Base completa_fcast_alt'!E29-'Base completa_fcast_alt'!E25)/100) - 1)</f>
        <v>4.3225963286212643</v>
      </c>
      <c r="L16" s="24"/>
    </row>
    <row r="17" spans="1:13">
      <c r="A17" s="29"/>
      <c r="B17" s="23">
        <v>4.4692435672035797</v>
      </c>
      <c r="C17" s="23">
        <v>4.4692435672035797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13">
        <v>4.4692435672035797</v>
      </c>
      <c r="J17" s="1">
        <v>4.3722522100000001</v>
      </c>
      <c r="K17" s="43">
        <f xml:space="preserve"> 100*(EXP(('Base completa_fcast_alt'!E30-'Base completa_fcast_alt'!E26)/100) - 1)</f>
        <v>4.4692433410175481</v>
      </c>
      <c r="L17" s="24"/>
    </row>
    <row r="18" spans="1:13">
      <c r="A18" s="29" t="s">
        <v>134</v>
      </c>
      <c r="B18" s="23">
        <v>4.8487587503910898</v>
      </c>
      <c r="C18" s="23">
        <v>4.8487587503910898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13">
        <v>4.8487587503910898</v>
      </c>
      <c r="J18" s="1">
        <v>4.7348733300000001</v>
      </c>
      <c r="K18" s="43">
        <f xml:space="preserve"> 100*(EXP(('Base completa_fcast_alt'!E31-'Base completa_fcast_alt'!E27)/100) - 1)</f>
        <v>4.8487584407719053</v>
      </c>
      <c r="L18" s="24"/>
    </row>
    <row r="19" spans="1:13">
      <c r="A19" s="29"/>
      <c r="B19" s="23">
        <v>4.3600039932344474</v>
      </c>
      <c r="C19" s="23">
        <v>4.3600039932344474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13">
        <v>4.3600039932344474</v>
      </c>
      <c r="J19" s="1">
        <v>4.2676312699999999</v>
      </c>
      <c r="K19" s="43">
        <f xml:space="preserve"> 100*(EXP(('Base completa_fcast_alt'!E32-'Base completa_fcast_alt'!E28)/100) - 1)</f>
        <v>4.3600037276937176</v>
      </c>
      <c r="L19" s="24"/>
    </row>
    <row r="20" spans="1:13">
      <c r="A20" s="29"/>
      <c r="B20" s="23">
        <v>4.2298463849922694</v>
      </c>
      <c r="C20" s="23">
        <v>4.2298463849922694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13">
        <v>4.2298463849922694</v>
      </c>
      <c r="J20" s="1">
        <v>4.1428335799999996</v>
      </c>
      <c r="K20" s="43">
        <f xml:space="preserve"> 100*(EXP(('Base completa_fcast_alt'!E33-'Base completa_fcast_alt'!E29)/100) - 1)</f>
        <v>4.2298457644021292</v>
      </c>
    </row>
    <row r="21" spans="1:13">
      <c r="A21" s="29"/>
      <c r="B21" s="23">
        <v>3.4447695977075226</v>
      </c>
      <c r="C21" s="23">
        <v>3.4447695977075226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13">
        <v>3.4447695977075226</v>
      </c>
      <c r="J21" s="1">
        <v>3.38676573</v>
      </c>
      <c r="K21" s="43">
        <f xml:space="preserve"> 100*(EXP(('Base completa_fcast_alt'!E34-'Base completa_fcast_alt'!E30)/100) - 1)</f>
        <v>3.4447698860657239</v>
      </c>
    </row>
    <row r="22" spans="1:13">
      <c r="A22" s="29" t="s">
        <v>135</v>
      </c>
      <c r="B22" s="23"/>
      <c r="C22" s="23">
        <v>2.5243252780225722</v>
      </c>
      <c r="D22" s="23">
        <v>2.4387382441303007E-2</v>
      </c>
      <c r="E22" s="23">
        <v>3.6506586653804352E-2</v>
      </c>
      <c r="F22" s="23">
        <v>1.0073798125615596E-2</v>
      </c>
      <c r="G22" s="23">
        <v>3.6506586653804352E-2</v>
      </c>
      <c r="H22" s="23">
        <v>2.4387382441303007E-2</v>
      </c>
      <c r="I22" s="22">
        <v>2.5902561461804874</v>
      </c>
      <c r="J22" s="1">
        <v>2.6263086100000002</v>
      </c>
      <c r="K22" s="43">
        <f xml:space="preserve"> 100*(EXP(('Base completa_fcast_alt'!E35-'Base completa_fcast_alt'!E31)/100) - 1)</f>
        <v>2.6611004036477315</v>
      </c>
      <c r="M22" s="37" t="s">
        <v>149</v>
      </c>
    </row>
    <row r="23" spans="1:13">
      <c r="A23" s="29"/>
      <c r="B23" s="23"/>
      <c r="C23" s="23">
        <v>3.5505763090587585</v>
      </c>
      <c r="D23" s="23">
        <v>0.15763961793158598</v>
      </c>
      <c r="E23" s="23">
        <v>0.23597794416613604</v>
      </c>
      <c r="F23" s="23">
        <v>6.5116856696865177E-2</v>
      </c>
      <c r="G23" s="23">
        <v>0.23597794416613649</v>
      </c>
      <c r="H23" s="23">
        <v>0.15763961793158554</v>
      </c>
      <c r="I23" s="22">
        <v>3.9767522995049132</v>
      </c>
      <c r="J23" s="1">
        <v>4.0317623899999999</v>
      </c>
      <c r="K23" s="43">
        <f xml:space="preserve"> 100*(EXP(('Base completa_fcast_alt'!E36-'Base completa_fcast_alt'!E32)/100) - 1)</f>
        <v>4.1141409015823971</v>
      </c>
      <c r="M23" s="37" t="s">
        <v>144</v>
      </c>
    </row>
    <row r="24" spans="1:13">
      <c r="A24" s="29"/>
      <c r="B24" s="23"/>
      <c r="C24" s="23">
        <v>2.8822053437701824</v>
      </c>
      <c r="D24" s="23">
        <v>0.3839935906804044</v>
      </c>
      <c r="E24" s="23">
        <v>0.5748175445404855</v>
      </c>
      <c r="F24" s="23">
        <v>0.15861783950594344</v>
      </c>
      <c r="G24" s="23">
        <v>0.57481754454048595</v>
      </c>
      <c r="H24" s="23">
        <v>0.38399359068040351</v>
      </c>
      <c r="I24" s="22">
        <v>3.9203253987440441</v>
      </c>
      <c r="J24" s="1">
        <v>4.1872918600000002</v>
      </c>
      <c r="K24" s="43">
        <f xml:space="preserve"> 100*(EXP(('Base completa_fcast_alt'!E37-'Base completa_fcast_alt'!E33)/100) - 1)</f>
        <v>4.2761956141068147</v>
      </c>
    </row>
    <row r="25" spans="1:13">
      <c r="A25" s="29"/>
      <c r="B25" s="23"/>
      <c r="C25" s="23">
        <v>2.6122180616176549</v>
      </c>
      <c r="D25" s="23">
        <v>0.52907430170208247</v>
      </c>
      <c r="E25" s="23">
        <v>0.79199548733348912</v>
      </c>
      <c r="F25" s="23">
        <v>0.21854693596682173</v>
      </c>
      <c r="G25" s="23">
        <v>0.79199548733348824</v>
      </c>
      <c r="H25" s="23">
        <v>0.52907430170208158</v>
      </c>
      <c r="I25" s="22">
        <v>4.0425613186366371</v>
      </c>
      <c r="J25" s="1">
        <v>4.2649117800000003</v>
      </c>
      <c r="K25" s="43">
        <f xml:space="preserve"> 100*(EXP(('Base completa_fcast_alt'!E38-'Base completa_fcast_alt'!E34)/100) - 1)</f>
        <v>4.3571662177684711</v>
      </c>
    </row>
    <row r="26" spans="1:13">
      <c r="A26" s="29" t="s">
        <v>136</v>
      </c>
      <c r="B26" s="23"/>
      <c r="C26" s="23">
        <v>2.3181171143173414</v>
      </c>
      <c r="D26" s="23">
        <v>0.61979622629859943</v>
      </c>
      <c r="E26" s="23">
        <v>0.92780127992537675</v>
      </c>
      <c r="F26" s="23">
        <v>0.25602182102889426</v>
      </c>
      <c r="G26" s="23">
        <v>0.92780127992537675</v>
      </c>
      <c r="H26" s="23">
        <v>0.61979622629859854</v>
      </c>
      <c r="I26" s="22">
        <v>3.9937255310557647</v>
      </c>
      <c r="J26" s="1">
        <v>3.98296238</v>
      </c>
      <c r="K26" s="43">
        <f xml:space="preserve"> 100*(EXP(('Base completa_fcast_alt'!E39-'Base completa_fcast_alt'!E35)/100) - 1)</f>
        <v>4.0633455958850373</v>
      </c>
    </row>
    <row r="27" spans="1:13">
      <c r="A27" s="29"/>
      <c r="B27" s="23"/>
      <c r="C27" s="23">
        <v>0.90829737963779245</v>
      </c>
      <c r="D27" s="23">
        <v>0.68089074179929687</v>
      </c>
      <c r="E27" s="23">
        <v>1.0192564506295931</v>
      </c>
      <c r="F27" s="23">
        <v>0.28125838822578864</v>
      </c>
      <c r="G27" s="23">
        <v>1.0192564506295931</v>
      </c>
      <c r="H27" s="23">
        <v>0.68089074179929598</v>
      </c>
      <c r="I27" s="22">
        <v>2.7490737661795768</v>
      </c>
      <c r="J27" s="1">
        <v>2.7990185400000001</v>
      </c>
      <c r="K27" s="43">
        <f xml:space="preserve"> 100*(EXP(('Base completa_fcast_alt'!E40-'Base completa_fcast_alt'!E36)/100) - 1)</f>
        <v>2.8385595909244943</v>
      </c>
    </row>
    <row r="28" spans="1:13">
      <c r="A28" s="29"/>
      <c r="B28" s="23"/>
      <c r="C28" s="23">
        <v>0.65576081960532884</v>
      </c>
      <c r="D28" s="23">
        <v>0.70505879080852396</v>
      </c>
      <c r="E28" s="23">
        <v>1.0554347070510148</v>
      </c>
      <c r="F28" s="23">
        <v>0.29124158537271194</v>
      </c>
      <c r="G28" s="23">
        <v>1.0554347070510142</v>
      </c>
      <c r="H28" s="23">
        <v>0.70505879080852285</v>
      </c>
      <c r="I28" s="22">
        <v>2.5618751101512238</v>
      </c>
      <c r="J28" s="1">
        <v>2.4133395900000001</v>
      </c>
      <c r="K28" s="43">
        <f xml:space="preserve"> 100*(EXP(('Base completa_fcast_alt'!E41-'Base completa_fcast_alt'!E37)/100) - 1)</f>
        <v>2.4426957089073831</v>
      </c>
    </row>
    <row r="29" spans="1:13">
      <c r="A29" s="29"/>
      <c r="B29" s="23"/>
      <c r="C29" s="23">
        <v>0.88341707744109477</v>
      </c>
      <c r="D29" s="23">
        <v>0.70970728257565585</v>
      </c>
      <c r="E29" s="23">
        <v>1.0623932466939934</v>
      </c>
      <c r="F29" s="23">
        <v>0.29316175732078298</v>
      </c>
      <c r="G29" s="23">
        <v>1.0623932466939934</v>
      </c>
      <c r="H29" s="23">
        <v>0.7097072825756543</v>
      </c>
      <c r="I29" s="22">
        <v>2.8020984853711353</v>
      </c>
      <c r="J29" s="1">
        <v>2.71668098</v>
      </c>
      <c r="K29" s="43">
        <f xml:space="preserve"> 100*(EXP(('Base completa_fcast_alt'!E42-'Base completa_fcast_alt'!E38)/100) - 1)</f>
        <v>2.7539192281013536</v>
      </c>
    </row>
    <row r="30" spans="1:13">
      <c r="A30" s="29" t="s">
        <v>137</v>
      </c>
      <c r="B30" s="23"/>
      <c r="C30" s="23">
        <v>1.0034486862316943</v>
      </c>
      <c r="D30" s="23">
        <v>0.73862892408031922</v>
      </c>
      <c r="E30" s="23">
        <v>1.1056873728389984</v>
      </c>
      <c r="F30" s="23">
        <v>0.30510854081346173</v>
      </c>
      <c r="G30" s="23">
        <v>1.105687372838998</v>
      </c>
      <c r="H30" s="23">
        <v>0.73862892408031744</v>
      </c>
      <c r="I30" s="22">
        <v>3.000319253557743</v>
      </c>
      <c r="J30" s="1">
        <v>2.9505665200000002</v>
      </c>
      <c r="K30" s="43">
        <f xml:space="preserve"> 100*(EXP(('Base completa_fcast_alt'!E43-'Base completa_fcast_alt'!E39)/100) - 1)</f>
        <v>2.9945275245046865</v>
      </c>
    </row>
    <row r="31" spans="1:13">
      <c r="A31" s="18"/>
      <c r="B31" s="18"/>
      <c r="C31" s="18"/>
      <c r="D31" s="18"/>
      <c r="E31" s="18"/>
      <c r="F31" s="18"/>
      <c r="G31" s="18"/>
      <c r="H31" s="18"/>
      <c r="I31" s="22"/>
      <c r="J31" s="1"/>
    </row>
    <row r="32" spans="1:13">
      <c r="A32" s="20"/>
      <c r="B32" s="20" t="s">
        <v>142</v>
      </c>
      <c r="C32" s="21">
        <v>-90</v>
      </c>
      <c r="D32" s="21">
        <v>-70.000000000000014</v>
      </c>
      <c r="E32" s="21">
        <v>-10</v>
      </c>
      <c r="F32" s="21">
        <v>10</v>
      </c>
      <c r="G32" s="21">
        <v>70.000000000000014</v>
      </c>
      <c r="H32" s="21">
        <v>89.999999999999986</v>
      </c>
      <c r="I32" s="20" t="s">
        <v>142</v>
      </c>
      <c r="J32" s="19" t="s">
        <v>151</v>
      </c>
      <c r="K32" s="39" t="s">
        <v>140</v>
      </c>
    </row>
    <row r="33" spans="1:11">
      <c r="A33" s="40" t="s">
        <v>130</v>
      </c>
      <c r="B33" s="23">
        <v>3.183167632169841</v>
      </c>
      <c r="C33" s="23">
        <v>3.183167632169841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13">
        <v>3.183167632169841</v>
      </c>
      <c r="J33" s="1">
        <v>3.1335549399999998</v>
      </c>
      <c r="K33" s="12">
        <f xml:space="preserve"> 100*(EXP(('Base completa_fcast_alt'!F15-'Base completa_fcast_alt'!F11)/100) - 1)</f>
        <v>3.1831676923284924</v>
      </c>
    </row>
    <row r="34" spans="1:11">
      <c r="A34" s="40"/>
      <c r="B34" s="23">
        <v>3.2308466249089633</v>
      </c>
      <c r="C34" s="23">
        <v>3.2308466249089633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13">
        <v>3.2308466249089633</v>
      </c>
      <c r="J34" s="1">
        <v>3.17975238</v>
      </c>
      <c r="K34" s="12">
        <f xml:space="preserve"> 100*(EXP(('Base completa_fcast_alt'!F16-'Base completa_fcast_alt'!F12)/100) - 1)</f>
        <v>3.2308462324869947</v>
      </c>
    </row>
    <row r="35" spans="1:11">
      <c r="A35" s="40"/>
      <c r="B35" s="23">
        <v>3.9227893147307782</v>
      </c>
      <c r="C35" s="23">
        <v>3.9227893147307782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13">
        <v>3.9227893147307782</v>
      </c>
      <c r="J35" s="1">
        <v>3.8478026999999999</v>
      </c>
      <c r="K35" s="12">
        <f xml:space="preserve"> 100*(EXP(('Base completa_fcast_alt'!F17-'Base completa_fcast_alt'!F13)/100) - 1)</f>
        <v>3.9227885878014623</v>
      </c>
    </row>
    <row r="36" spans="1:11">
      <c r="A36" s="40"/>
      <c r="B36" s="23">
        <v>4.7234972547075813</v>
      </c>
      <c r="C36" s="23">
        <v>4.7234972547075813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13">
        <v>4.7234972547075813</v>
      </c>
      <c r="J36" s="1">
        <v>4.6153331299999998</v>
      </c>
      <c r="K36" s="12">
        <f xml:space="preserve"> 100*(EXP(('Base completa_fcast_alt'!F18-'Base completa_fcast_alt'!F14)/100) - 1)</f>
        <v>4.7234971185404762</v>
      </c>
    </row>
    <row r="37" spans="1:11">
      <c r="A37" s="40" t="s">
        <v>131</v>
      </c>
      <c r="B37" s="23">
        <v>6.6464464805698498</v>
      </c>
      <c r="C37" s="23">
        <v>6.6464464805698498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13">
        <v>6.6464464805698498</v>
      </c>
      <c r="J37" s="1">
        <v>6.4348938899999997</v>
      </c>
      <c r="K37" s="12">
        <f xml:space="preserve"> 100*(EXP(('Base completa_fcast_alt'!F19-'Base completa_fcast_alt'!F15)/100) - 1)</f>
        <v>6.6464465953916863</v>
      </c>
    </row>
    <row r="38" spans="1:11">
      <c r="A38" s="40"/>
      <c r="B38" s="23">
        <v>8.8588637515582178</v>
      </c>
      <c r="C38" s="23">
        <v>8.8588637515582178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13">
        <v>8.8588637515582178</v>
      </c>
      <c r="J38" s="1">
        <v>8.4882029299999999</v>
      </c>
      <c r="K38" s="12">
        <f xml:space="preserve"> 100*(EXP(('Base completa_fcast_alt'!F20-'Base completa_fcast_alt'!F16)/100) - 1)</f>
        <v>8.8588638321537072</v>
      </c>
    </row>
    <row r="39" spans="1:11">
      <c r="A39" s="40"/>
      <c r="B39" s="23">
        <v>10.308271685532503</v>
      </c>
      <c r="C39" s="23">
        <v>10.308271685532503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13">
        <v>10.308271685532503</v>
      </c>
      <c r="J39" s="1">
        <v>9.8108730099999999</v>
      </c>
      <c r="K39" s="12">
        <f xml:space="preserve"> 100*(EXP(('Base completa_fcast_alt'!F21-'Base completa_fcast_alt'!F17)/100) - 1)</f>
        <v>10.308271677209957</v>
      </c>
    </row>
    <row r="40" spans="1:11">
      <c r="A40" s="40"/>
      <c r="B40" s="23">
        <v>10.313103088789106</v>
      </c>
      <c r="C40" s="23">
        <v>10.313103088789106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13">
        <v>10.313103088789106</v>
      </c>
      <c r="J40" s="1">
        <v>9.8152528199999995</v>
      </c>
      <c r="K40" s="12">
        <f xml:space="preserve"> 100*(EXP(('Base completa_fcast_alt'!F22-'Base completa_fcast_alt'!F18)/100) - 1)</f>
        <v>10.313103285320825</v>
      </c>
    </row>
    <row r="41" spans="1:11">
      <c r="A41" s="41" t="s">
        <v>132</v>
      </c>
      <c r="B41" s="23">
        <v>9.9620399104740187</v>
      </c>
      <c r="C41" s="23">
        <v>9.9620399104740187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13">
        <v>9.9620399104740187</v>
      </c>
      <c r="J41" s="1">
        <v>9.4965028500000006</v>
      </c>
      <c r="K41" s="12">
        <f xml:space="preserve"> 100*(EXP(('Base completa_fcast_alt'!F23-'Base completa_fcast_alt'!F19)/100) - 1)</f>
        <v>9.9620400728318348</v>
      </c>
    </row>
    <row r="42" spans="1:11">
      <c r="A42" s="41"/>
      <c r="B42" s="23">
        <v>8.7189310353784464</v>
      </c>
      <c r="C42" s="23">
        <v>8.7189310353784464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13">
        <v>8.7189310353784464</v>
      </c>
      <c r="J42" s="1">
        <v>8.3595751499999995</v>
      </c>
      <c r="K42" s="12">
        <f xml:space="preserve"> 100*(EXP(('Base completa_fcast_alt'!F24-'Base completa_fcast_alt'!F20)/100) - 1)</f>
        <v>8.718930868563346</v>
      </c>
    </row>
    <row r="43" spans="1:11">
      <c r="A43" s="41"/>
      <c r="B43" s="23">
        <v>6.5614866652912411</v>
      </c>
      <c r="C43" s="23">
        <v>6.5614866652912411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13">
        <v>6.5614866652912411</v>
      </c>
      <c r="J43" s="1">
        <v>6.35519721</v>
      </c>
      <c r="K43" s="12">
        <f xml:space="preserve"> 100*(EXP(('Base completa_fcast_alt'!F25-'Base completa_fcast_alt'!F21)/100) - 1)</f>
        <v>6.5614875023092489</v>
      </c>
    </row>
    <row r="44" spans="1:11">
      <c r="A44" s="41"/>
      <c r="B44" s="23">
        <v>5.1396244792019274</v>
      </c>
      <c r="C44" s="23">
        <v>5.1396244792019274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13">
        <v>5.1396244792019274</v>
      </c>
      <c r="J44" s="1">
        <v>5.0119037799999999</v>
      </c>
      <c r="K44" s="12">
        <f xml:space="preserve"> 100*(EXP(('Base completa_fcast_alt'!F26-'Base completa_fcast_alt'!F22)/100) - 1)</f>
        <v>5.1396247136162199</v>
      </c>
    </row>
    <row r="45" spans="1:11">
      <c r="A45" s="41" t="s">
        <v>133</v>
      </c>
      <c r="B45" s="23">
        <v>4.0423233567014449</v>
      </c>
      <c r="C45" s="23">
        <v>4.0423233567014449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13">
        <v>4.0423233567014449</v>
      </c>
      <c r="J45" s="1">
        <v>3.9627585700000001</v>
      </c>
      <c r="K45" s="12">
        <f xml:space="preserve"> 100*(EXP(('Base completa_fcast_alt'!F27-'Base completa_fcast_alt'!F23)/100) - 1)</f>
        <v>4.0423238017623708</v>
      </c>
    </row>
    <row r="46" spans="1:11">
      <c r="A46" s="41"/>
      <c r="B46" s="23">
        <v>3.3950453782611163</v>
      </c>
      <c r="C46" s="23">
        <v>3.3950453782611163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13">
        <v>3.3950453782611163</v>
      </c>
      <c r="J46" s="1">
        <v>3.33868579</v>
      </c>
      <c r="K46" s="12">
        <f xml:space="preserve"> 100*(EXP(('Base completa_fcast_alt'!F28-'Base completa_fcast_alt'!F24)/100) - 1)</f>
        <v>3.3950455953818404</v>
      </c>
    </row>
    <row r="47" spans="1:11">
      <c r="A47" s="41"/>
      <c r="B47" s="23">
        <v>3.6320565976367476</v>
      </c>
      <c r="C47" s="23">
        <v>3.6320565976367476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13">
        <v>3.6320565976367476</v>
      </c>
      <c r="J47" s="1">
        <v>3.56765226</v>
      </c>
      <c r="K47" s="12">
        <f xml:space="preserve"> 100*(EXP(('Base completa_fcast_alt'!F29-'Base completa_fcast_alt'!F25)/100) - 1)</f>
        <v>3.6320563289329089</v>
      </c>
    </row>
    <row r="48" spans="1:11">
      <c r="A48" s="41"/>
      <c r="B48" s="23">
        <v>4.2027061259512459</v>
      </c>
      <c r="C48" s="23">
        <v>4.2027061259512459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13">
        <v>4.2027061259512459</v>
      </c>
      <c r="J48" s="1">
        <v>4.1169113599999996</v>
      </c>
      <c r="K48" s="12">
        <f xml:space="preserve"> 100*(EXP(('Base completa_fcast_alt'!F30-'Base completa_fcast_alt'!F26)/100) - 1)</f>
        <v>4.2028308053431163</v>
      </c>
    </row>
    <row r="49" spans="1:11">
      <c r="A49" s="41" t="s">
        <v>134</v>
      </c>
      <c r="B49" s="23">
        <v>3.9083965698035619</v>
      </c>
      <c r="C49" s="23">
        <v>3.9083965698035619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13">
        <v>3.9083965698035619</v>
      </c>
      <c r="J49" s="1">
        <v>3.8338556000000001</v>
      </c>
      <c r="K49" s="12">
        <f xml:space="preserve"> 100*(EXP(('Base completa_fcast_alt'!F31-'Base completa_fcast_alt'!F27)/100) - 1)</f>
        <v>3.9082954871769493</v>
      </c>
    </row>
    <row r="50" spans="1:11">
      <c r="A50" s="41"/>
      <c r="B50" s="23">
        <v>3.6318608491144819</v>
      </c>
      <c r="C50" s="23">
        <v>3.6318608491144819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13">
        <v>3.6318608491144819</v>
      </c>
      <c r="J50" s="1">
        <v>3.5674633899999999</v>
      </c>
      <c r="K50" s="12">
        <f xml:space="preserve"> 100*(EXP(('Base completa_fcast_alt'!F32-'Base completa_fcast_alt'!F28)/100) - 1)</f>
        <v>3.6318615008502197</v>
      </c>
    </row>
    <row r="51" spans="1:11">
      <c r="A51" s="41"/>
      <c r="B51" s="23">
        <v>3.9358971944631622</v>
      </c>
      <c r="C51" s="23">
        <v>3.9358971944631622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13">
        <v>3.9358971944631622</v>
      </c>
      <c r="J51" s="1">
        <v>3.8604150100000001</v>
      </c>
      <c r="K51" s="12">
        <f xml:space="preserve"> 100*(EXP(('Base completa_fcast_alt'!F33-'Base completa_fcast_alt'!F29)/100) - 1)</f>
        <v>3.9358971958030731</v>
      </c>
    </row>
    <row r="52" spans="1:11">
      <c r="A52" s="41"/>
      <c r="B52" s="23">
        <v>3.3920116049373767</v>
      </c>
      <c r="C52" s="23">
        <v>3.3920116049373767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13">
        <v>3.3920116049373767</v>
      </c>
      <c r="J52" s="1">
        <v>3.3357516</v>
      </c>
      <c r="K52" s="12">
        <f xml:space="preserve"> 100*(EXP(('Base completa_fcast_alt'!F34-'Base completa_fcast_alt'!F30)/100) - 1)</f>
        <v>3.3920120292467271</v>
      </c>
    </row>
    <row r="53" spans="1:11">
      <c r="A53" s="41" t="s">
        <v>135</v>
      </c>
      <c r="B53" s="23"/>
      <c r="C53" s="23">
        <v>3.3312415721709154</v>
      </c>
      <c r="D53" s="23">
        <v>1.875552427525351E-2</v>
      </c>
      <c r="E53" s="23">
        <v>2.807600093368201E-2</v>
      </c>
      <c r="F53" s="23">
        <v>7.7474229037797215E-3</v>
      </c>
      <c r="G53" s="23">
        <v>2.807600093368201E-2</v>
      </c>
      <c r="H53" s="23">
        <v>1.875552427525351E-2</v>
      </c>
      <c r="I53" s="42">
        <f>C53+D53+E53+F53/2</f>
        <v>3.3819468088317408</v>
      </c>
      <c r="J53" s="1">
        <v>3.3432841799999999</v>
      </c>
      <c r="K53" s="12">
        <f xml:space="preserve"> 100*(EXP(('Base completa_fcast_alt'!F35-'Base completa_fcast_alt'!F31)/100) - 1)</f>
        <v>3.3997998088768799</v>
      </c>
    </row>
    <row r="54" spans="1:11">
      <c r="A54" s="41"/>
      <c r="B54" s="23"/>
      <c r="C54" s="23">
        <v>3.0067542775690184</v>
      </c>
      <c r="D54" s="23">
        <v>0.13094033671196392</v>
      </c>
      <c r="E54" s="23">
        <v>0.19601057063663241</v>
      </c>
      <c r="F54" s="23">
        <v>5.4088072867650716E-2</v>
      </c>
      <c r="G54" s="23">
        <v>0.19601057063663241</v>
      </c>
      <c r="H54" s="23">
        <v>0.13094033671196392</v>
      </c>
      <c r="I54" s="42">
        <f t="shared" ref="I54:I61" si="0">C54+D54+E54+F54/2</f>
        <v>3.3607492213514401</v>
      </c>
      <c r="J54" s="1">
        <v>3.32628732</v>
      </c>
      <c r="K54" s="12">
        <f xml:space="preserve"> 100*(EXP(('Base completa_fcast_alt'!F36-'Base completa_fcast_alt'!F32)/100) - 1)</f>
        <v>3.3822264384185008</v>
      </c>
    </row>
    <row r="55" spans="1:11">
      <c r="A55" s="41"/>
      <c r="B55" s="23"/>
      <c r="C55" s="23">
        <v>2.3210698036402526</v>
      </c>
      <c r="D55" s="23">
        <v>0.34937178386365408</v>
      </c>
      <c r="E55" s="23">
        <v>0.52299058058857106</v>
      </c>
      <c r="F55" s="23">
        <v>0.14431646487275174</v>
      </c>
      <c r="G55" s="23">
        <v>0.52299058058857106</v>
      </c>
      <c r="H55" s="23">
        <v>0.3493717838636532</v>
      </c>
      <c r="I55" s="42">
        <f t="shared" si="0"/>
        <v>3.2655904005288536</v>
      </c>
      <c r="J55" s="1">
        <v>3.2337113099999999</v>
      </c>
      <c r="K55" s="12">
        <f xml:space="preserve"> 100*(EXP(('Base completa_fcast_alt'!F37-'Base completa_fcast_alt'!F33)/100) - 1)</f>
        <v>3.2865635957196604</v>
      </c>
    </row>
    <row r="56" spans="1:11">
      <c r="A56" s="41"/>
      <c r="B56" s="23"/>
      <c r="C56" s="23">
        <v>1.7474473512994904</v>
      </c>
      <c r="D56" s="23">
        <v>0.55723367507952148</v>
      </c>
      <c r="E56" s="23">
        <v>0.83414853950276369</v>
      </c>
      <c r="F56" s="23">
        <v>0.23017884617411433</v>
      </c>
      <c r="G56" s="23">
        <v>0.83414853950276413</v>
      </c>
      <c r="H56" s="23">
        <v>0.55723367507951949</v>
      </c>
      <c r="I56" s="42">
        <f t="shared" si="0"/>
        <v>3.2539189889688327</v>
      </c>
      <c r="J56" s="1">
        <v>3.2208554</v>
      </c>
      <c r="K56" s="12">
        <f xml:space="preserve"> 100*(EXP(('Base completa_fcast_alt'!F38-'Base completa_fcast_alt'!F34)/100) - 1)</f>
        <v>3.2732859286106031</v>
      </c>
    </row>
    <row r="57" spans="1:11">
      <c r="A57" s="41" t="s">
        <v>136</v>
      </c>
      <c r="B57" s="23"/>
      <c r="C57" s="23">
        <v>1.2741432762658569</v>
      </c>
      <c r="D57" s="23">
        <v>0.74198074821085225</v>
      </c>
      <c r="E57" s="23">
        <v>1.1107048714723229</v>
      </c>
      <c r="F57" s="23">
        <v>0.30649309283436121</v>
      </c>
      <c r="G57" s="23">
        <v>1.1107048714723229</v>
      </c>
      <c r="H57" s="23">
        <v>0.74198074821085136</v>
      </c>
      <c r="I57" s="42">
        <f t="shared" si="0"/>
        <v>3.2800754423662126</v>
      </c>
      <c r="J57" s="1">
        <v>3.2291856800000001</v>
      </c>
      <c r="K57" s="12">
        <f xml:space="preserve"> 100*(EXP(('Base completa_fcast_alt'!F39-'Base completa_fcast_alt'!F35)/100) - 1)</f>
        <v>3.2818899844582194</v>
      </c>
    </row>
    <row r="58" spans="1:11">
      <c r="A58" s="41"/>
      <c r="B58" s="23"/>
      <c r="C58" s="23">
        <v>1.0578560544675848</v>
      </c>
      <c r="D58" s="23">
        <v>0.81918666416521457</v>
      </c>
      <c r="E58" s="23">
        <v>1.2262779333930949</v>
      </c>
      <c r="F58" s="23">
        <v>0.33838486364246068</v>
      </c>
      <c r="G58" s="23">
        <v>1.226277933393094</v>
      </c>
      <c r="H58" s="23">
        <v>0.81918666416521368</v>
      </c>
      <c r="I58" s="42">
        <f t="shared" si="0"/>
        <v>3.2725130838471248</v>
      </c>
      <c r="J58" s="1">
        <v>3.2172486500000002</v>
      </c>
      <c r="K58" s="12">
        <f xml:space="preserve"> 100*(EXP(('Base completa_fcast_alt'!F40-'Base completa_fcast_alt'!F36)/100) - 1)</f>
        <v>3.2695619610634941</v>
      </c>
    </row>
    <row r="59" spans="1:11">
      <c r="A59" s="41"/>
      <c r="B59" s="23"/>
      <c r="C59" s="23">
        <v>0.83820325608185664</v>
      </c>
      <c r="D59" s="23">
        <v>0.79985559453069022</v>
      </c>
      <c r="E59" s="23">
        <v>1.1973403723234701</v>
      </c>
      <c r="F59" s="23">
        <v>0.33039969780848377</v>
      </c>
      <c r="G59" s="23">
        <v>1.1973403723234703</v>
      </c>
      <c r="H59" s="23">
        <v>0.79985559453068777</v>
      </c>
      <c r="I59" s="42">
        <f t="shared" si="0"/>
        <v>3.0005990718402589</v>
      </c>
      <c r="J59" s="1">
        <v>2.9528787799999998</v>
      </c>
      <c r="K59" s="12">
        <f xml:space="preserve"> 100*(EXP(('Base completa_fcast_alt'!F41-'Base completa_fcast_alt'!F37)/100) - 1)</f>
        <v>2.9969087855082899</v>
      </c>
    </row>
    <row r="60" spans="1:11">
      <c r="A60" s="41"/>
      <c r="B60" s="23"/>
      <c r="C60" s="23">
        <v>0.89955686353920017</v>
      </c>
      <c r="D60" s="23">
        <v>0.7802431203527842</v>
      </c>
      <c r="E60" s="23">
        <v>1.1679815639398941</v>
      </c>
      <c r="F60" s="23">
        <v>0.3222982910221015</v>
      </c>
      <c r="G60" s="23">
        <v>1.1679815639398945</v>
      </c>
      <c r="H60" s="23">
        <v>0.78024312035278243</v>
      </c>
      <c r="I60" s="42">
        <f t="shared" si="0"/>
        <v>3.0089306933429292</v>
      </c>
      <c r="J60" s="1">
        <v>2.9617153799999998</v>
      </c>
      <c r="K60" s="12">
        <f xml:space="preserve"> 100*(EXP(('Base completa_fcast_alt'!F42-'Base completa_fcast_alt'!F38)/100) - 1)</f>
        <v>3.0060110245141436</v>
      </c>
    </row>
    <row r="61" spans="1:11">
      <c r="A61" s="41" t="s">
        <v>137</v>
      </c>
      <c r="B61" s="23"/>
      <c r="C61" s="23">
        <v>0.91575058941087262</v>
      </c>
      <c r="D61" s="23">
        <v>0.78587556440586148</v>
      </c>
      <c r="E61" s="23">
        <v>1.1764130267010682</v>
      </c>
      <c r="F61" s="23">
        <v>0.32462490825874379</v>
      </c>
      <c r="G61" s="23">
        <v>1.1764130267010677</v>
      </c>
      <c r="H61" s="23">
        <v>0.78587556440586059</v>
      </c>
      <c r="I61" s="42">
        <f t="shared" si="0"/>
        <v>3.0403516346471742</v>
      </c>
      <c r="J61" s="1">
        <v>2.8427530600000002</v>
      </c>
      <c r="K61" s="12">
        <f xml:space="preserve"> 100*(EXP(('Base completa_fcast_alt'!F43-'Base completa_fcast_alt'!F39)/100) - 1)</f>
        <v>2.883544842784036</v>
      </c>
    </row>
    <row r="62" spans="1:11">
      <c r="J62" s="1"/>
    </row>
    <row r="63" spans="1:11">
      <c r="J63" s="1"/>
    </row>
    <row r="64" spans="1:11">
      <c r="J64" s="1"/>
    </row>
    <row r="65" spans="10:10">
      <c r="J6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130" zoomScaleNormal="130" workbookViewId="0">
      <selection activeCell="E3" sqref="E3:E5"/>
    </sheetView>
  </sheetViews>
  <sheetFormatPr baseColWidth="10" defaultRowHeight="15"/>
  <sheetData>
    <row r="1" spans="1:5">
      <c r="A1" s="38"/>
      <c r="B1" s="39" t="s">
        <v>129</v>
      </c>
      <c r="C1" s="39" t="s">
        <v>140</v>
      </c>
    </row>
    <row r="2" spans="1:5">
      <c r="A2" s="40" t="s">
        <v>130</v>
      </c>
      <c r="B2" s="45">
        <v>0.5</v>
      </c>
      <c r="C2" s="12">
        <v>0.5</v>
      </c>
    </row>
    <row r="3" spans="1:5">
      <c r="A3" s="40"/>
      <c r="B3" s="45">
        <v>0.5</v>
      </c>
      <c r="C3" s="12">
        <v>0.5</v>
      </c>
      <c r="E3" t="s">
        <v>153</v>
      </c>
    </row>
    <row r="4" spans="1:5">
      <c r="A4" s="40"/>
      <c r="B4" s="45">
        <v>0.95703125</v>
      </c>
      <c r="C4" s="12">
        <v>0.96</v>
      </c>
      <c r="E4" t="s">
        <v>6</v>
      </c>
    </row>
    <row r="5" spans="1:5">
      <c r="A5" s="40"/>
      <c r="B5" s="45">
        <v>2.8306451612903198</v>
      </c>
      <c r="C5" s="12">
        <v>2.82</v>
      </c>
      <c r="E5" s="44" t="s">
        <v>139</v>
      </c>
    </row>
    <row r="6" spans="1:5">
      <c r="A6" s="40" t="s">
        <v>131</v>
      </c>
      <c r="B6" s="45">
        <v>5.125</v>
      </c>
      <c r="C6" s="12">
        <v>5.1133333299999997</v>
      </c>
    </row>
    <row r="7" spans="1:5">
      <c r="A7" s="40"/>
      <c r="B7" s="45">
        <v>7.94758064516129</v>
      </c>
      <c r="C7" s="12">
        <v>7.9433333299999997</v>
      </c>
    </row>
    <row r="8" spans="1:5">
      <c r="A8" s="40"/>
      <c r="B8" s="45">
        <v>9.8968253968254007</v>
      </c>
      <c r="C8" s="12">
        <v>9.91</v>
      </c>
    </row>
    <row r="9" spans="1:5">
      <c r="A9" s="40"/>
      <c r="B9" s="45">
        <v>11.1926229508197</v>
      </c>
      <c r="C9" s="12">
        <v>11.19</v>
      </c>
    </row>
    <row r="10" spans="1:5">
      <c r="A10" s="41" t="s">
        <v>132</v>
      </c>
      <c r="B10" s="45">
        <v>11.25</v>
      </c>
      <c r="C10" s="12">
        <v>11.25</v>
      </c>
    </row>
    <row r="11" spans="1:5">
      <c r="A11" s="41"/>
      <c r="B11" s="45">
        <v>11.25</v>
      </c>
      <c r="C11" s="12">
        <v>11.25</v>
      </c>
    </row>
    <row r="12" spans="1:5">
      <c r="A12" s="41"/>
      <c r="B12" s="45">
        <v>10.3790322580645</v>
      </c>
      <c r="C12" s="12">
        <v>10.3566667</v>
      </c>
    </row>
    <row r="13" spans="1:5">
      <c r="A13" s="41"/>
      <c r="B13" s="45">
        <v>9.0625</v>
      </c>
      <c r="C13" s="12">
        <v>9.0566666700000003</v>
      </c>
    </row>
    <row r="14" spans="1:5">
      <c r="A14" s="41" t="s">
        <v>133</v>
      </c>
      <c r="B14" s="45">
        <v>7.5992063492063497</v>
      </c>
      <c r="C14" s="12">
        <v>7.5833333300000003</v>
      </c>
    </row>
    <row r="15" spans="1:5">
      <c r="A15" s="41"/>
      <c r="B15" s="45">
        <v>6.2943548387096797</v>
      </c>
      <c r="C15" s="12">
        <v>6.28</v>
      </c>
    </row>
    <row r="16" spans="1:5">
      <c r="A16" s="41"/>
      <c r="B16" s="45">
        <v>5.6844262295082002</v>
      </c>
      <c r="C16" s="12">
        <v>5.6766666700000004</v>
      </c>
    </row>
    <row r="17" spans="1:3">
      <c r="A17" s="41"/>
      <c r="B17" s="45">
        <v>5.2701612903225801</v>
      </c>
      <c r="C17" s="12">
        <v>5.2666666700000002</v>
      </c>
    </row>
    <row r="18" spans="1:3">
      <c r="A18" s="41" t="s">
        <v>134</v>
      </c>
      <c r="B18" s="45">
        <v>5</v>
      </c>
      <c r="C18" s="12">
        <v>5</v>
      </c>
    </row>
    <row r="19" spans="1:3">
      <c r="A19" s="41"/>
      <c r="B19" s="45">
        <v>5</v>
      </c>
      <c r="C19" s="12">
        <v>5</v>
      </c>
    </row>
    <row r="20" spans="1:3">
      <c r="A20" s="41"/>
      <c r="B20" s="45">
        <v>4.8306451612903203</v>
      </c>
      <c r="C20" s="12">
        <v>4.8266666699999998</v>
      </c>
    </row>
    <row r="21" spans="1:3">
      <c r="A21" s="41"/>
      <c r="B21" s="45">
        <v>4.7137096774193497</v>
      </c>
      <c r="C21" s="12">
        <v>4.7133333300000002</v>
      </c>
    </row>
    <row r="22" spans="1:3">
      <c r="A22" s="41" t="s">
        <v>135</v>
      </c>
      <c r="B22" s="45">
        <v>4.5</v>
      </c>
      <c r="C22" s="12">
        <v>4.49416013</v>
      </c>
    </row>
    <row r="23" spans="1:3">
      <c r="A23" s="41"/>
      <c r="B23" s="45">
        <v>4.53</v>
      </c>
      <c r="C23" s="12">
        <v>4.5235812600000003</v>
      </c>
    </row>
    <row r="24" spans="1:3">
      <c r="A24" s="41"/>
      <c r="B24" s="45">
        <v>4.75</v>
      </c>
      <c r="C24" s="12">
        <v>4.7492864800000003</v>
      </c>
    </row>
    <row r="25" spans="1:3">
      <c r="A25" s="41"/>
      <c r="B25" s="45">
        <v>4.5599999999999996</v>
      </c>
      <c r="C25" s="12">
        <v>4.5815839799999996</v>
      </c>
    </row>
    <row r="26" spans="1:3">
      <c r="A26" s="41" t="s">
        <v>136</v>
      </c>
      <c r="B26" s="45">
        <v>4.32</v>
      </c>
      <c r="C26" s="12">
        <v>4.3247540000000004</v>
      </c>
    </row>
    <row r="27" spans="1:3">
      <c r="A27" s="41"/>
      <c r="B27" s="45">
        <v>4.25</v>
      </c>
      <c r="C27" s="12">
        <v>4.2280094799999999</v>
      </c>
    </row>
    <row r="28" spans="1:3">
      <c r="A28" s="41"/>
      <c r="B28" s="45">
        <v>4.25</v>
      </c>
      <c r="C28" s="12">
        <v>4.2395048099999997</v>
      </c>
    </row>
    <row r="29" spans="1:3">
      <c r="A29" s="41"/>
      <c r="B29" s="45">
        <v>4.25</v>
      </c>
      <c r="C29" s="12">
        <v>4.2405462500000004</v>
      </c>
    </row>
    <row r="30" spans="1:3">
      <c r="A30" s="41" t="s">
        <v>137</v>
      </c>
      <c r="B30" s="45">
        <v>4.25</v>
      </c>
      <c r="C30" s="12">
        <v>4.2107615000000003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workbookViewId="0">
      <selection activeCell="G31" activeCellId="1" sqref="C4:C31 G4:G31"/>
    </sheetView>
  </sheetViews>
  <sheetFormatPr baseColWidth="10" defaultRowHeight="15"/>
  <sheetData>
    <row r="1" spans="1:20">
      <c r="A1" s="33" t="s">
        <v>145</v>
      </c>
      <c r="B1" s="33"/>
      <c r="C1" s="33"/>
      <c r="D1" s="33"/>
      <c r="E1" s="33" t="s">
        <v>146</v>
      </c>
      <c r="F1" s="33"/>
      <c r="G1" s="33"/>
    </row>
    <row r="2" spans="1:20">
      <c r="A2" s="34"/>
      <c r="B2" s="34"/>
      <c r="C2" s="34"/>
      <c r="D2" s="33"/>
      <c r="E2" s="33"/>
      <c r="F2" s="33"/>
      <c r="G2" s="33"/>
    </row>
    <row r="3" spans="1:20">
      <c r="A3" s="35" t="s">
        <v>147</v>
      </c>
      <c r="B3" s="35" t="s">
        <v>148</v>
      </c>
      <c r="C3" s="39" t="s">
        <v>140</v>
      </c>
      <c r="D3" s="33"/>
      <c r="E3" s="35" t="s">
        <v>147</v>
      </c>
      <c r="F3" s="35" t="s">
        <v>148</v>
      </c>
      <c r="G3" s="39" t="s">
        <v>140</v>
      </c>
    </row>
    <row r="4" spans="1:20">
      <c r="A4" s="40" t="s">
        <v>130</v>
      </c>
      <c r="B4" s="36">
        <v>3.8458571500000001</v>
      </c>
      <c r="C4" s="25">
        <v>3.8458571500000001</v>
      </c>
      <c r="D4" s="33"/>
      <c r="E4" s="40" t="s">
        <v>130</v>
      </c>
      <c r="F4" s="36">
        <v>57.79</v>
      </c>
      <c r="G4" s="2">
        <v>57.79</v>
      </c>
    </row>
    <row r="5" spans="1:20">
      <c r="A5" s="40"/>
      <c r="B5" s="36">
        <v>4.4047219499999999</v>
      </c>
      <c r="C5" s="25">
        <v>4.4047219499999999</v>
      </c>
      <c r="D5" s="33"/>
      <c r="E5" s="40"/>
      <c r="F5" s="36">
        <v>66.09</v>
      </c>
      <c r="G5" s="2">
        <v>66.090000500000002</v>
      </c>
    </row>
    <row r="6" spans="1:20">
      <c r="A6" s="40"/>
      <c r="B6" s="36">
        <v>4.2509374299999996</v>
      </c>
      <c r="C6" s="25">
        <v>4.2509374299999996</v>
      </c>
      <c r="D6" s="33"/>
      <c r="E6" s="40"/>
      <c r="F6" s="36">
        <v>70.623333299999999</v>
      </c>
      <c r="G6" s="2">
        <v>70.623333700000003</v>
      </c>
    </row>
    <row r="7" spans="1:20">
      <c r="A7" s="40"/>
      <c r="B7" s="36">
        <v>4.3990277899999999</v>
      </c>
      <c r="C7" s="25">
        <v>4.3990277899999999</v>
      </c>
      <c r="D7" s="33"/>
      <c r="E7" s="40"/>
      <c r="F7" s="36">
        <v>77.446666699999994</v>
      </c>
      <c r="G7" s="2">
        <v>77.446666800000003</v>
      </c>
    </row>
    <row r="8" spans="1:20">
      <c r="A8" s="40" t="s">
        <v>131</v>
      </c>
      <c r="B8" s="36">
        <v>4.5291451199999999</v>
      </c>
      <c r="C8" s="25">
        <v>4.5291451199999999</v>
      </c>
      <c r="D8" s="33"/>
      <c r="E8" s="40" t="s">
        <v>131</v>
      </c>
      <c r="F8" s="36">
        <v>94.453333299999997</v>
      </c>
      <c r="G8" s="2">
        <v>94.453333599999993</v>
      </c>
    </row>
    <row r="9" spans="1:20">
      <c r="A9" s="40"/>
      <c r="B9" s="36">
        <v>4.3211270400000004</v>
      </c>
      <c r="C9" s="25">
        <v>4.3211270400000004</v>
      </c>
      <c r="D9" s="33"/>
      <c r="E9" s="40"/>
      <c r="F9" s="36">
        <v>108.723333</v>
      </c>
      <c r="G9" s="2">
        <v>108.723333</v>
      </c>
      <c r="Q9" s="1"/>
      <c r="R9" s="1"/>
      <c r="S9" s="1"/>
      <c r="T9" s="1"/>
    </row>
    <row r="10" spans="1:20">
      <c r="A10" s="40"/>
      <c r="B10" s="36">
        <v>3.5116680300000001</v>
      </c>
      <c r="C10" s="25">
        <v>3.5116680300000001</v>
      </c>
      <c r="D10" s="33"/>
      <c r="E10" s="40"/>
      <c r="F10" s="36">
        <v>93.183333300000001</v>
      </c>
      <c r="G10" s="2">
        <v>93.183333000000005</v>
      </c>
      <c r="Q10" s="1"/>
      <c r="R10" s="1"/>
      <c r="S10" s="1"/>
      <c r="T10" s="1"/>
    </row>
    <row r="11" spans="1:20">
      <c r="A11" s="40"/>
      <c r="B11" s="36">
        <v>3.6315567400000002</v>
      </c>
      <c r="C11" s="25">
        <v>3.6315567400000002</v>
      </c>
      <c r="D11" s="33"/>
      <c r="E11" s="40"/>
      <c r="F11" s="36">
        <v>82.786666699999998</v>
      </c>
      <c r="G11" s="2">
        <v>82.786666699999998</v>
      </c>
      <c r="Q11" s="1"/>
      <c r="R11" s="1"/>
      <c r="S11" s="1"/>
      <c r="T11" s="1"/>
    </row>
    <row r="12" spans="1:20">
      <c r="A12" s="41" t="s">
        <v>132</v>
      </c>
      <c r="B12" s="36">
        <v>4.05072878</v>
      </c>
      <c r="C12" s="25">
        <v>4.05072878</v>
      </c>
      <c r="E12" s="41" t="s">
        <v>132</v>
      </c>
      <c r="F12" s="36">
        <v>76.076666700000004</v>
      </c>
      <c r="G12" s="2">
        <v>76.076666599999996</v>
      </c>
      <c r="Q12" s="1"/>
      <c r="R12" s="1"/>
      <c r="S12" s="1"/>
      <c r="T12" s="1"/>
    </row>
    <row r="13" spans="1:20">
      <c r="A13" s="41"/>
      <c r="B13" s="36">
        <v>3.8456726799999998</v>
      </c>
      <c r="C13" s="25">
        <v>3.8456726799999998</v>
      </c>
      <c r="E13" s="41"/>
      <c r="F13" s="36">
        <v>73.760000000000005</v>
      </c>
      <c r="G13" s="2">
        <v>73.760000199999993</v>
      </c>
      <c r="Q13" s="1"/>
      <c r="R13" s="1"/>
      <c r="S13" s="1"/>
      <c r="T13" s="1"/>
    </row>
    <row r="14" spans="1:20">
      <c r="A14" s="41"/>
      <c r="B14" s="36">
        <v>3.7902401000000001</v>
      </c>
      <c r="C14" s="25">
        <v>3.7902401000000001</v>
      </c>
      <c r="E14" s="41"/>
      <c r="F14" s="36">
        <v>82.296666700000003</v>
      </c>
      <c r="G14" s="2">
        <v>82.296667299999996</v>
      </c>
      <c r="Q14" s="1"/>
      <c r="R14" s="1"/>
      <c r="S14" s="1"/>
      <c r="T14" s="1"/>
    </row>
    <row r="15" spans="1:20">
      <c r="A15" s="41"/>
      <c r="B15" s="36">
        <v>3.7055429599999998</v>
      </c>
      <c r="C15" s="25">
        <v>3.7055429599999998</v>
      </c>
      <c r="E15" s="41"/>
      <c r="F15" s="36">
        <v>78.41</v>
      </c>
      <c r="G15" s="2">
        <v>78.409999499999998</v>
      </c>
      <c r="Q15" s="1"/>
      <c r="R15" s="1"/>
      <c r="S15" s="1"/>
      <c r="T15" s="1"/>
    </row>
    <row r="16" spans="1:20">
      <c r="A16" s="41" t="s">
        <v>133</v>
      </c>
      <c r="B16" s="36">
        <v>3.8299721799999999</v>
      </c>
      <c r="C16" s="25">
        <v>3.8299721799999999</v>
      </c>
      <c r="E16" s="41" t="s">
        <v>133</v>
      </c>
      <c r="F16" s="36">
        <v>77.56</v>
      </c>
      <c r="G16" s="2">
        <v>77.559999899999994</v>
      </c>
      <c r="Q16" s="1"/>
      <c r="R16" s="1"/>
      <c r="S16" s="1"/>
      <c r="T16" s="1"/>
    </row>
    <row r="17" spans="1:20">
      <c r="A17" s="41"/>
      <c r="B17" s="36">
        <v>4.4230397000000004</v>
      </c>
      <c r="C17" s="25">
        <v>4.4230397000000004</v>
      </c>
      <c r="E17" s="41"/>
      <c r="F17" s="36">
        <v>81.713333300000002</v>
      </c>
      <c r="G17" s="2">
        <v>81.713333199999994</v>
      </c>
      <c r="Q17" s="1"/>
      <c r="R17" s="1"/>
      <c r="S17" s="1"/>
      <c r="T17" s="1"/>
    </row>
    <row r="18" spans="1:20">
      <c r="A18" s="41"/>
      <c r="B18" s="36">
        <v>4.1748737499999997</v>
      </c>
      <c r="C18" s="25">
        <v>4.1748737499999997</v>
      </c>
      <c r="E18" s="41"/>
      <c r="F18" s="36">
        <v>76.239999999999995</v>
      </c>
      <c r="G18" s="2">
        <v>76.239999900000001</v>
      </c>
      <c r="Q18" s="1"/>
      <c r="R18" s="1"/>
      <c r="S18" s="1"/>
      <c r="T18" s="1"/>
    </row>
    <row r="19" spans="1:20">
      <c r="A19" s="41"/>
      <c r="B19" s="36">
        <v>4.1630092000000003</v>
      </c>
      <c r="C19" s="25">
        <v>4.1630092000000003</v>
      </c>
      <c r="E19" s="41"/>
      <c r="F19" s="36">
        <v>70.686666700000004</v>
      </c>
      <c r="G19" s="2">
        <v>70.686666900000006</v>
      </c>
      <c r="Q19" s="1"/>
      <c r="R19" s="1"/>
      <c r="S19" s="1"/>
      <c r="T19" s="1"/>
    </row>
    <row r="20" spans="1:20">
      <c r="A20" s="41" t="s">
        <v>134</v>
      </c>
      <c r="B20" s="36">
        <v>4.2392627000000003</v>
      </c>
      <c r="C20" s="25">
        <v>4.2392627000000003</v>
      </c>
      <c r="E20" s="41" t="s">
        <v>134</v>
      </c>
      <c r="F20" s="36">
        <v>71.836666699999995</v>
      </c>
      <c r="G20" s="2">
        <v>71.836666500000007</v>
      </c>
      <c r="Q20" s="1"/>
      <c r="R20" s="1"/>
      <c r="S20" s="1"/>
      <c r="T20" s="1"/>
    </row>
    <row r="21" spans="1:20">
      <c r="A21" s="41"/>
      <c r="B21" s="36">
        <v>4.3175467899999997</v>
      </c>
      <c r="C21" s="25">
        <v>4.3175467899999997</v>
      </c>
      <c r="E21" s="41"/>
      <c r="F21" s="36">
        <v>64.626666700000001</v>
      </c>
      <c r="G21" s="2">
        <v>64.626666499999999</v>
      </c>
      <c r="Q21" s="1"/>
      <c r="R21" s="1"/>
      <c r="S21" s="1"/>
      <c r="T21" s="1"/>
    </row>
    <row r="22" spans="1:20">
      <c r="A22" s="41"/>
      <c r="B22" s="36">
        <v>4.4417027300000003</v>
      </c>
      <c r="C22" s="25">
        <v>4.4417027300000003</v>
      </c>
      <c r="E22" s="41"/>
      <c r="F22" s="36">
        <v>65.736666700000001</v>
      </c>
      <c r="G22" s="2">
        <v>65.736666499999998</v>
      </c>
      <c r="Q22" s="1"/>
      <c r="R22" s="1"/>
      <c r="S22" s="1"/>
      <c r="T22" s="1"/>
    </row>
    <row r="23" spans="1:20">
      <c r="A23" s="41"/>
      <c r="B23" s="36">
        <v>5.0349705</v>
      </c>
      <c r="C23" s="25">
        <v>5.0349705</v>
      </c>
      <c r="E23" s="41"/>
      <c r="F23" s="36">
        <v>59.64</v>
      </c>
      <c r="G23" s="2">
        <v>59.640000100000002</v>
      </c>
      <c r="Q23" s="1"/>
      <c r="R23" s="1"/>
      <c r="S23" s="1"/>
      <c r="T23" s="1"/>
    </row>
    <row r="24" spans="1:20">
      <c r="A24" s="41" t="s">
        <v>135</v>
      </c>
      <c r="B24" s="36">
        <v>5.2098000000000004</v>
      </c>
      <c r="C24" s="25">
        <v>5.2098000000000004</v>
      </c>
      <c r="E24" s="41" t="s">
        <v>135</v>
      </c>
      <c r="F24" s="36">
        <v>82.5</v>
      </c>
      <c r="G24" s="2">
        <v>83.1504434</v>
      </c>
      <c r="Q24" s="1"/>
      <c r="R24" s="1"/>
      <c r="S24" s="1"/>
      <c r="T24" s="1"/>
    </row>
    <row r="25" spans="1:20">
      <c r="A25" s="41"/>
      <c r="B25" s="36">
        <v>5.4386000000000001</v>
      </c>
      <c r="C25" s="25">
        <v>5.4386000000000001</v>
      </c>
      <c r="E25" s="41"/>
      <c r="F25" s="36">
        <v>88.6</v>
      </c>
      <c r="G25" s="2">
        <v>100</v>
      </c>
      <c r="Q25" s="1"/>
      <c r="R25" s="1"/>
      <c r="S25" s="1"/>
      <c r="T25" s="1"/>
    </row>
    <row r="26" spans="1:20">
      <c r="A26" s="41"/>
      <c r="B26" s="36">
        <v>5.5144000000000002</v>
      </c>
      <c r="C26" s="25">
        <v>5.5144000000000002</v>
      </c>
      <c r="E26" s="41"/>
      <c r="F26" s="36">
        <v>87.5</v>
      </c>
      <c r="G26" s="2">
        <v>100</v>
      </c>
      <c r="Q26" s="1"/>
      <c r="R26" s="1"/>
      <c r="S26" s="1"/>
      <c r="T26" s="1"/>
    </row>
    <row r="27" spans="1:20">
      <c r="A27" s="41"/>
      <c r="B27" s="36">
        <v>5.4372999999999996</v>
      </c>
      <c r="C27" s="25">
        <v>5.4372999999999996</v>
      </c>
      <c r="E27" s="41"/>
      <c r="F27" s="36">
        <v>85.6</v>
      </c>
      <c r="G27" s="2">
        <v>90</v>
      </c>
      <c r="Q27" s="1"/>
      <c r="R27" s="1"/>
      <c r="S27" s="1"/>
      <c r="T27" s="1"/>
    </row>
    <row r="28" spans="1:20">
      <c r="A28" s="41" t="s">
        <v>136</v>
      </c>
      <c r="B28" s="36">
        <v>5.1871</v>
      </c>
      <c r="C28" s="25">
        <v>5.1871</v>
      </c>
      <c r="E28" s="41" t="s">
        <v>136</v>
      </c>
      <c r="F28" s="36">
        <v>78</v>
      </c>
      <c r="G28" s="2">
        <v>85</v>
      </c>
      <c r="Q28" s="1"/>
      <c r="R28" s="1"/>
      <c r="S28" s="1"/>
      <c r="T28" s="1"/>
    </row>
    <row r="29" spans="1:20">
      <c r="A29" s="41"/>
      <c r="B29" s="36">
        <v>5.1124000000000001</v>
      </c>
      <c r="C29" s="25">
        <v>5.1124000000000001</v>
      </c>
      <c r="E29" s="41"/>
      <c r="F29" s="36">
        <v>75.2</v>
      </c>
      <c r="G29" s="2">
        <v>85</v>
      </c>
      <c r="Q29" s="1"/>
      <c r="R29" s="1"/>
      <c r="S29" s="1"/>
      <c r="T29" s="1"/>
    </row>
    <row r="30" spans="1:20">
      <c r="A30" s="41"/>
      <c r="B30" s="36">
        <v>5.0627000000000004</v>
      </c>
      <c r="C30" s="25">
        <v>5.0627000000000004</v>
      </c>
      <c r="E30" s="41"/>
      <c r="F30" s="36">
        <v>73.3</v>
      </c>
      <c r="G30" s="2">
        <v>85</v>
      </c>
      <c r="Q30" s="1"/>
      <c r="R30" s="1"/>
      <c r="S30" s="1"/>
      <c r="T30" s="1"/>
    </row>
    <row r="31" spans="1:20">
      <c r="A31" s="41"/>
      <c r="B31" s="36">
        <v>5.0377999999999998</v>
      </c>
      <c r="C31" s="25">
        <v>5.0377999999999998</v>
      </c>
      <c r="E31" s="41"/>
      <c r="F31" s="36">
        <v>72.400000000000006</v>
      </c>
      <c r="G31" s="2">
        <v>85</v>
      </c>
      <c r="Q31" s="1"/>
      <c r="R31" s="1"/>
      <c r="S31" s="1"/>
      <c r="T31" s="1"/>
    </row>
    <row r="32" spans="1:20">
      <c r="Q32" s="1"/>
      <c r="R32" s="1"/>
      <c r="S32" s="1"/>
      <c r="T32" s="1"/>
    </row>
    <row r="33" spans="17:20">
      <c r="Q33" s="1"/>
      <c r="R33" s="1"/>
      <c r="S33" s="1"/>
      <c r="T33" s="1"/>
    </row>
    <row r="34" spans="17:20">
      <c r="Q34" s="1"/>
      <c r="R34" s="1"/>
      <c r="S34" s="1"/>
      <c r="T34" s="1"/>
    </row>
    <row r="35" spans="17:20">
      <c r="S35" s="1"/>
      <c r="T35" s="1"/>
    </row>
    <row r="36" spans="17:20">
      <c r="S36" s="1"/>
      <c r="T36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"/>
  <sheetViews>
    <sheetView workbookViewId="0">
      <selection activeCell="F14" sqref="F14"/>
    </sheetView>
  </sheetViews>
  <sheetFormatPr baseColWidth="10" defaultRowHeight="15"/>
  <cols>
    <col min="3" max="34" width="11.42578125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AB2" t="s">
        <v>72</v>
      </c>
      <c r="AC2" t="s">
        <v>73</v>
      </c>
      <c r="AD2" t="s">
        <v>74</v>
      </c>
      <c r="AH2" t="s">
        <v>75</v>
      </c>
      <c r="AI2" t="s">
        <v>76</v>
      </c>
      <c r="AJ2" t="s">
        <v>77</v>
      </c>
      <c r="AK2" t="s">
        <v>78</v>
      </c>
      <c r="AZ2" t="s">
        <v>79</v>
      </c>
      <c r="BA2" t="s">
        <v>63</v>
      </c>
    </row>
    <row r="3" spans="1:54">
      <c r="A3" t="s">
        <v>81</v>
      </c>
      <c r="B3" s="1">
        <v>1066.09365</v>
      </c>
      <c r="C3" s="1">
        <v>1065.98405</v>
      </c>
      <c r="D3" s="1">
        <v>0.10959829</v>
      </c>
      <c r="E3" s="1">
        <v>431.87084800000002</v>
      </c>
      <c r="F3" s="1">
        <v>435.008307</v>
      </c>
      <c r="G3" s="1">
        <v>2.5</v>
      </c>
      <c r="H3" s="1">
        <v>3.9209467099999999</v>
      </c>
      <c r="I3" s="1">
        <v>3.49333333</v>
      </c>
      <c r="J3" s="1">
        <v>448.32912399999998</v>
      </c>
      <c r="K3" s="1">
        <v>3.9488792799999999</v>
      </c>
      <c r="L3" s="1">
        <v>118.69108199999999</v>
      </c>
      <c r="M3" s="1">
        <v>417.87140900000003</v>
      </c>
      <c r="N3" s="1">
        <v>1.4466666699999999</v>
      </c>
      <c r="O3" s="1">
        <v>2.76</v>
      </c>
      <c r="P3" s="1">
        <v>17.354754100000001</v>
      </c>
      <c r="Q3" s="1">
        <v>-12.1878946</v>
      </c>
      <c r="R3" s="1">
        <v>0.410776533</v>
      </c>
      <c r="S3" s="1">
        <v>3.1567117200000001</v>
      </c>
      <c r="T3" s="1">
        <v>62.886666699999999</v>
      </c>
      <c r="U3" s="1">
        <v>3.15671173</v>
      </c>
      <c r="V3" s="1">
        <v>62.886666499999997</v>
      </c>
      <c r="W3" s="1">
        <v>249.32166699999999</v>
      </c>
      <c r="X3" s="1">
        <v>96.331007799999995</v>
      </c>
      <c r="Y3" s="1">
        <v>551.87438999999995</v>
      </c>
      <c r="Z3" s="1">
        <v>2.2237092399999998</v>
      </c>
      <c r="AA3" s="1">
        <v>3.3564452400000002</v>
      </c>
      <c r="AB3" s="1">
        <v>3.5287183199999999</v>
      </c>
      <c r="AC3" s="1">
        <v>3.9850120800000002</v>
      </c>
      <c r="AD3" s="1">
        <v>2.5667818100000002</v>
      </c>
      <c r="AE3" s="1">
        <v>2.5667710100000001</v>
      </c>
      <c r="AF3" s="1">
        <v>0.961936507</v>
      </c>
      <c r="AG3" s="1">
        <v>1.4182410599999999</v>
      </c>
      <c r="AH3" s="1">
        <v>2.88972688</v>
      </c>
      <c r="AI3" s="1">
        <v>2.0142433500000001</v>
      </c>
      <c r="AJ3" s="1">
        <v>2.5161582500000002</v>
      </c>
      <c r="AK3" s="1">
        <v>2.1370860299999999</v>
      </c>
      <c r="AL3" s="1">
        <v>-10.7541861</v>
      </c>
      <c r="AM3" s="1">
        <v>-3.1836039299999999</v>
      </c>
      <c r="AN3" s="1">
        <v>5.4326395600000001</v>
      </c>
      <c r="AO3" s="1">
        <v>15.422272299999999</v>
      </c>
      <c r="AP3" s="1">
        <v>47.586129399999997</v>
      </c>
      <c r="AQ3" s="1">
        <v>17.235063100000001</v>
      </c>
      <c r="AR3" s="1">
        <v>-10.7541861</v>
      </c>
      <c r="AS3" s="1">
        <v>-3.1836039299999999</v>
      </c>
      <c r="AT3" s="1">
        <v>-7.8423973900000004</v>
      </c>
      <c r="AU3" s="1">
        <v>-11.8216056</v>
      </c>
      <c r="AV3" s="1">
        <v>8.7890847900000004</v>
      </c>
      <c r="AW3" s="1">
        <v>17.645981500000001</v>
      </c>
      <c r="AX3" s="1">
        <v>50.9425746</v>
      </c>
      <c r="AY3" s="1">
        <v>19.4587723</v>
      </c>
      <c r="AZ3" s="1">
        <v>0.37356863699999998</v>
      </c>
      <c r="BA3" s="1">
        <v>88.525552599999997</v>
      </c>
      <c r="BB3" s="1">
        <v>-0.12284268</v>
      </c>
    </row>
    <row r="4" spans="1:54">
      <c r="A4" t="s">
        <v>82</v>
      </c>
      <c r="B4" s="1">
        <v>1067.85131</v>
      </c>
      <c r="C4" s="1">
        <v>1066.5525299999999</v>
      </c>
      <c r="D4" s="1">
        <v>1.2987746499999999</v>
      </c>
      <c r="E4" s="1">
        <v>432.50928599999997</v>
      </c>
      <c r="F4" s="1">
        <v>435.87698499999999</v>
      </c>
      <c r="G4" s="1">
        <v>2.5</v>
      </c>
      <c r="H4" s="1">
        <v>3.8900043499999999</v>
      </c>
      <c r="I4" s="1">
        <v>3.31</v>
      </c>
      <c r="J4" s="1">
        <v>449.66340600000001</v>
      </c>
      <c r="K4" s="1">
        <v>3.8914968499999998</v>
      </c>
      <c r="L4" s="1">
        <v>116.881603</v>
      </c>
      <c r="M4" s="1">
        <v>425.19483700000001</v>
      </c>
      <c r="N4" s="1">
        <v>1.73666667</v>
      </c>
      <c r="O4" s="1">
        <v>2.92</v>
      </c>
      <c r="P4" s="1">
        <v>15.3375</v>
      </c>
      <c r="Q4" s="1">
        <v>-10.853612999999999</v>
      </c>
      <c r="R4" s="1">
        <v>1.2331865</v>
      </c>
      <c r="S4" s="1">
        <v>3.1169826700000001</v>
      </c>
      <c r="T4" s="1">
        <v>68.033333299999995</v>
      </c>
      <c r="U4" s="1">
        <v>3.1169826700000001</v>
      </c>
      <c r="V4" s="1">
        <v>68.033333400000004</v>
      </c>
      <c r="W4" s="1">
        <v>250.679</v>
      </c>
      <c r="X4" s="1">
        <v>96.855443899999997</v>
      </c>
      <c r="Y4" s="1">
        <v>552.41732400000001</v>
      </c>
      <c r="Z4" s="1">
        <v>2.6513328500000002</v>
      </c>
      <c r="AA4" s="1">
        <v>2.1717357700000002</v>
      </c>
      <c r="AB4" s="1">
        <v>7.0306419199999999</v>
      </c>
      <c r="AC4" s="1">
        <v>4.8169368300000004</v>
      </c>
      <c r="AD4" s="1">
        <v>2.2739364700000002</v>
      </c>
      <c r="AE4" s="1">
        <v>2.4935677799999998</v>
      </c>
      <c r="AF4" s="1">
        <v>4.7567054500000001</v>
      </c>
      <c r="AG4" s="1">
        <v>2.3233690400000002</v>
      </c>
      <c r="AH4" s="1">
        <v>2.5537525099999998</v>
      </c>
      <c r="AI4" s="1">
        <v>2.1253632100000002</v>
      </c>
      <c r="AJ4" s="1">
        <v>3.4747113299999999</v>
      </c>
      <c r="AK4" s="1">
        <v>1.9579435000000001</v>
      </c>
      <c r="AL4" s="1">
        <v>5.3371265399999999</v>
      </c>
      <c r="AM4" s="1">
        <v>-3.9478048700000001</v>
      </c>
      <c r="AN4" s="1">
        <v>-7.2379159199999998</v>
      </c>
      <c r="AO4" s="1">
        <v>16.696501399999999</v>
      </c>
      <c r="AP4" s="1">
        <v>29.293710900000001</v>
      </c>
      <c r="AQ4" s="1">
        <v>31.729590000000002</v>
      </c>
      <c r="AR4" s="1">
        <v>5.3371265399999999</v>
      </c>
      <c r="AS4" s="1">
        <v>-3.9478048700000001</v>
      </c>
      <c r="AT4" s="1">
        <v>3.2896398499999999</v>
      </c>
      <c r="AU4" s="1">
        <v>-4.6884776099999996</v>
      </c>
      <c r="AV4" s="1">
        <v>-5.0661801400000002</v>
      </c>
      <c r="AW4" s="1">
        <v>19.347834299999999</v>
      </c>
      <c r="AX4" s="1">
        <v>31.4654466</v>
      </c>
      <c r="AY4" s="1">
        <v>34.380922900000002</v>
      </c>
      <c r="AZ4" s="1">
        <v>-0.92095882799999995</v>
      </c>
      <c r="BA4" s="1">
        <v>89.714648400000002</v>
      </c>
      <c r="BB4" s="1">
        <v>0.16741971</v>
      </c>
    </row>
    <row r="5" spans="1:54">
      <c r="A5" t="s">
        <v>83</v>
      </c>
      <c r="B5" s="1">
        <v>1067.1975600000001</v>
      </c>
      <c r="C5" s="1">
        <v>1067.12103</v>
      </c>
      <c r="D5" s="1">
        <v>7.6530427499999998E-2</v>
      </c>
      <c r="E5" s="1">
        <v>433.10458699999998</v>
      </c>
      <c r="F5" s="1">
        <v>436.202856</v>
      </c>
      <c r="G5" s="1">
        <v>2.5</v>
      </c>
      <c r="H5" s="1">
        <v>3.8534229</v>
      </c>
      <c r="I5" s="1">
        <v>3.19</v>
      </c>
      <c r="J5" s="1">
        <v>452.20252799999997</v>
      </c>
      <c r="K5" s="1">
        <v>3.7146054799999999</v>
      </c>
      <c r="L5" s="1">
        <v>104.611724</v>
      </c>
      <c r="M5" s="1">
        <v>427.295322</v>
      </c>
      <c r="N5" s="1">
        <v>1.92333333</v>
      </c>
      <c r="O5" s="1">
        <v>2.9266666699999999</v>
      </c>
      <c r="P5" s="1">
        <v>12.8568254</v>
      </c>
      <c r="Q5" s="1">
        <v>-8.3144901299999994</v>
      </c>
      <c r="R5" s="1">
        <v>-4.8244848999999999</v>
      </c>
      <c r="S5" s="1">
        <v>2.7681438799999998</v>
      </c>
      <c r="T5" s="1">
        <v>69.756666699999997</v>
      </c>
      <c r="U5" s="1">
        <v>2.7681438900000002</v>
      </c>
      <c r="V5" s="1">
        <v>69.756666899999999</v>
      </c>
      <c r="W5" s="1">
        <v>251.68633299999999</v>
      </c>
      <c r="X5" s="1">
        <v>97.244649699999997</v>
      </c>
      <c r="Y5" s="1">
        <v>552.81835999999998</v>
      </c>
      <c r="Z5" s="1">
        <v>2.5754649700000001</v>
      </c>
      <c r="AA5" s="1">
        <v>1.60414681</v>
      </c>
      <c r="AB5" s="1">
        <v>-2.6149930299999999</v>
      </c>
      <c r="AC5" s="1">
        <v>2.8753333099999998</v>
      </c>
      <c r="AD5" s="1">
        <v>2.27398386</v>
      </c>
      <c r="AE5" s="1">
        <v>2.42037893</v>
      </c>
      <c r="AF5" s="1">
        <v>-4.8889768900000004</v>
      </c>
      <c r="AG5" s="1">
        <v>0.45495437900000002</v>
      </c>
      <c r="AH5" s="1">
        <v>2.3812006700000001</v>
      </c>
      <c r="AI5" s="1">
        <v>2.61388709</v>
      </c>
      <c r="AJ5" s="1">
        <v>1.30348361</v>
      </c>
      <c r="AK5" s="1">
        <v>2.0772056000000001</v>
      </c>
      <c r="AL5" s="1">
        <v>10.1564914</v>
      </c>
      <c r="AM5" s="1">
        <v>-4.9659180099999999E-2</v>
      </c>
      <c r="AN5" s="1">
        <v>-49.079516900000002</v>
      </c>
      <c r="AO5" s="1">
        <v>-6.4959711699999998</v>
      </c>
      <c r="AP5" s="1">
        <v>8.4019389699999998</v>
      </c>
      <c r="AQ5" s="1">
        <v>34.466033400000001</v>
      </c>
      <c r="AR5" s="1">
        <v>10.1564914</v>
      </c>
      <c r="AS5" s="1">
        <v>-4.9659180099999999E-2</v>
      </c>
      <c r="AT5" s="1">
        <v>-24.230685600000001</v>
      </c>
      <c r="AU5" s="1">
        <v>-9.8146874099999994</v>
      </c>
      <c r="AV5" s="1">
        <v>-47.475370099999999</v>
      </c>
      <c r="AW5" s="1">
        <v>-3.9205062000000002</v>
      </c>
      <c r="AX5" s="1">
        <v>10.006085799999999</v>
      </c>
      <c r="AY5" s="1">
        <v>37.041498300000001</v>
      </c>
      <c r="AZ5" s="1">
        <v>1.0777170599999999</v>
      </c>
      <c r="BA5" s="1">
        <v>92.021779199999997</v>
      </c>
      <c r="BB5" s="1">
        <v>0.53668148999999998</v>
      </c>
    </row>
    <row r="6" spans="1:54">
      <c r="A6" t="s">
        <v>84</v>
      </c>
      <c r="B6" s="1">
        <v>1068.4660799999999</v>
      </c>
      <c r="C6" s="1">
        <v>1067.6895</v>
      </c>
      <c r="D6" s="1">
        <v>0.77658852199999995</v>
      </c>
      <c r="E6" s="1">
        <v>433.54498599999999</v>
      </c>
      <c r="F6" s="1">
        <v>436.52071799999999</v>
      </c>
      <c r="G6" s="1">
        <v>2.7</v>
      </c>
      <c r="H6" s="1">
        <v>3.8132952100000002</v>
      </c>
      <c r="I6" s="1">
        <v>3.0966666699999998</v>
      </c>
      <c r="J6" s="1">
        <v>452.98447900000002</v>
      </c>
      <c r="K6" s="1">
        <v>3.2817498500000002</v>
      </c>
      <c r="L6" s="1">
        <v>105.265719</v>
      </c>
      <c r="M6" s="1">
        <v>410.27133199999997</v>
      </c>
      <c r="N6" s="1">
        <v>2.2200000000000002</v>
      </c>
      <c r="O6" s="1">
        <v>3.03333333</v>
      </c>
      <c r="P6" s="1">
        <v>21.0536508</v>
      </c>
      <c r="Q6" s="1">
        <v>-7.5325391899999996</v>
      </c>
      <c r="R6" s="1">
        <v>-5.9164802400000003</v>
      </c>
      <c r="S6" s="1">
        <v>2.7976503699999999</v>
      </c>
      <c r="T6" s="1">
        <v>59.076666699999997</v>
      </c>
      <c r="U6" s="1">
        <v>2.79765036</v>
      </c>
      <c r="V6" s="1">
        <v>59.076666899999999</v>
      </c>
      <c r="W6" s="1">
        <v>252.71100000000001</v>
      </c>
      <c r="X6" s="1">
        <v>97.640552600000007</v>
      </c>
      <c r="Y6" s="1">
        <v>553.22465399999999</v>
      </c>
      <c r="Z6" s="1">
        <v>2.18937596</v>
      </c>
      <c r="AA6" s="1">
        <v>1.6251760399999999</v>
      </c>
      <c r="AB6" s="1">
        <v>5.0740976699999996</v>
      </c>
      <c r="AC6" s="1">
        <v>3.2546162199999999</v>
      </c>
      <c r="AD6" s="1">
        <v>2.2738652899999998</v>
      </c>
      <c r="AE6" s="1">
        <v>2.3471418599999998</v>
      </c>
      <c r="AF6" s="1">
        <v>2.8002323800000002</v>
      </c>
      <c r="AG6" s="1">
        <v>0.90747435799999998</v>
      </c>
      <c r="AH6" s="1">
        <v>1.7615992599999999</v>
      </c>
      <c r="AI6" s="1">
        <v>2.3965698299999998</v>
      </c>
      <c r="AJ6" s="1">
        <v>1.27144842</v>
      </c>
      <c r="AK6" s="1">
        <v>2.1414504000000001</v>
      </c>
      <c r="AL6" s="1">
        <v>3.1278037400000001</v>
      </c>
      <c r="AM6" s="1">
        <v>1.9668089</v>
      </c>
      <c r="AN6" s="1">
        <v>2.6159815100000001</v>
      </c>
      <c r="AO6" s="1">
        <v>-12.0672029</v>
      </c>
      <c r="AP6" s="1">
        <v>-68.095960099999999</v>
      </c>
      <c r="AQ6" s="1">
        <v>4.2964547800000004</v>
      </c>
      <c r="AR6" s="1">
        <v>3.1278037400000001</v>
      </c>
      <c r="AS6" s="1">
        <v>1.9668089</v>
      </c>
      <c r="AT6" s="1">
        <v>-4.3679813699999999</v>
      </c>
      <c r="AU6" s="1">
        <v>-8.2878561200000007</v>
      </c>
      <c r="AV6" s="1">
        <v>4.2411575499999996</v>
      </c>
      <c r="AW6" s="1">
        <v>-9.8778269699999992</v>
      </c>
      <c r="AX6" s="1">
        <v>-66.470784100000003</v>
      </c>
      <c r="AY6" s="1">
        <v>6.4858307399999999</v>
      </c>
      <c r="AZ6" s="1">
        <v>0.49015083500000001</v>
      </c>
      <c r="BA6" s="1">
        <v>92.744165100000004</v>
      </c>
      <c r="BB6" s="1">
        <v>0.25511942999999998</v>
      </c>
    </row>
    <row r="7" spans="1:54">
      <c r="A7" t="s">
        <v>85</v>
      </c>
      <c r="B7" s="1">
        <v>1068.6617200000001</v>
      </c>
      <c r="C7" s="1">
        <v>1068.2579800000001</v>
      </c>
      <c r="D7" s="1">
        <v>0.40373298000000002</v>
      </c>
      <c r="E7" s="1">
        <v>433.69336900000002</v>
      </c>
      <c r="F7" s="1">
        <v>437.27561500000002</v>
      </c>
      <c r="G7" s="1">
        <v>2.92</v>
      </c>
      <c r="H7" s="1">
        <v>3.7666602</v>
      </c>
      <c r="I7" s="1">
        <v>3.17</v>
      </c>
      <c r="J7" s="1">
        <v>452.24693300000001</v>
      </c>
      <c r="K7" s="1">
        <v>3.13907829</v>
      </c>
      <c r="L7" s="1">
        <v>105.850139</v>
      </c>
      <c r="M7" s="1">
        <v>402.53878200000003</v>
      </c>
      <c r="N7" s="1">
        <v>2.4033333300000002</v>
      </c>
      <c r="O7" s="1">
        <v>2.6533333300000002</v>
      </c>
      <c r="P7" s="1">
        <v>16.47</v>
      </c>
      <c r="Q7" s="1">
        <v>-8.2700856999999992</v>
      </c>
      <c r="R7" s="1">
        <v>-4.67332547</v>
      </c>
      <c r="S7" s="1">
        <v>2.8215609800000001</v>
      </c>
      <c r="T7" s="1">
        <v>54.826666699999997</v>
      </c>
      <c r="U7" s="1">
        <v>2.8215609700000002</v>
      </c>
      <c r="V7" s="1">
        <v>54.826666899999999</v>
      </c>
      <c r="W7" s="1">
        <v>253.38566700000001</v>
      </c>
      <c r="X7" s="1">
        <v>97.901225199999999</v>
      </c>
      <c r="Y7" s="1">
        <v>553.49126999999999</v>
      </c>
      <c r="Z7" s="1">
        <v>1.6168805500000001</v>
      </c>
      <c r="AA7" s="1">
        <v>1.0664635600000001</v>
      </c>
      <c r="AB7" s="1">
        <v>0.78252899499999995</v>
      </c>
      <c r="AC7" s="1">
        <v>2.5680688900000002</v>
      </c>
      <c r="AD7" s="1">
        <v>2.2739511600000002</v>
      </c>
      <c r="AE7" s="1">
        <v>2.2739341999999998</v>
      </c>
      <c r="AF7" s="1">
        <v>-1.4914221700000001</v>
      </c>
      <c r="AG7" s="1">
        <v>0.29413468999999998</v>
      </c>
      <c r="AH7" s="1">
        <v>0.59353135000000001</v>
      </c>
      <c r="AI7" s="1">
        <v>1.82252094</v>
      </c>
      <c r="AJ7" s="1">
        <v>3.01959087</v>
      </c>
      <c r="AK7" s="1">
        <v>2.26730856</v>
      </c>
      <c r="AL7" s="1">
        <v>-2.9501860400000002</v>
      </c>
      <c r="AM7" s="1">
        <v>3.9178089200000001</v>
      </c>
      <c r="AN7" s="1">
        <v>2.3376804</v>
      </c>
      <c r="AO7" s="1">
        <v>-12.840942699999999</v>
      </c>
      <c r="AP7" s="1">
        <v>-30.930200299999999</v>
      </c>
      <c r="AQ7" s="1">
        <v>-15.3326276</v>
      </c>
      <c r="AR7" s="1">
        <v>-2.9501860400000002</v>
      </c>
      <c r="AS7" s="1">
        <v>3.9178089200000001</v>
      </c>
      <c r="AT7" s="1">
        <v>4.9726190700000004</v>
      </c>
      <c r="AU7" s="1">
        <v>-5.0841020099999996</v>
      </c>
      <c r="AV7" s="1">
        <v>3.4041439599999999</v>
      </c>
      <c r="AW7" s="1">
        <v>-11.224062200000001</v>
      </c>
      <c r="AX7" s="1">
        <v>-29.8637367</v>
      </c>
      <c r="AY7" s="1">
        <v>-13.7157471</v>
      </c>
      <c r="AZ7" s="1">
        <v>-2.4260595199999999</v>
      </c>
      <c r="BA7" s="1">
        <v>92.062650599999998</v>
      </c>
      <c r="BB7" s="1">
        <v>-0.44478761999999999</v>
      </c>
    </row>
    <row r="8" spans="1:54">
      <c r="A8" t="s">
        <v>86</v>
      </c>
      <c r="B8" s="1">
        <v>1069.9983500000001</v>
      </c>
      <c r="C8" s="1">
        <v>1068.83824</v>
      </c>
      <c r="D8" s="1">
        <v>1.1601073099999999</v>
      </c>
      <c r="E8" s="1">
        <v>434.70263799999998</v>
      </c>
      <c r="F8" s="1">
        <v>438.13934399999999</v>
      </c>
      <c r="G8" s="1">
        <v>2.8766666700000001</v>
      </c>
      <c r="H8" s="1">
        <v>3.7140251499999999</v>
      </c>
      <c r="I8" s="1">
        <v>2.8933333299999999</v>
      </c>
      <c r="J8" s="1">
        <v>453.449386</v>
      </c>
      <c r="K8" s="1">
        <v>3.0494438800000001</v>
      </c>
      <c r="L8" s="1">
        <v>103.391723</v>
      </c>
      <c r="M8" s="1">
        <v>410.46177299999999</v>
      </c>
      <c r="N8" s="1">
        <v>2.3966666700000001</v>
      </c>
      <c r="O8" s="1">
        <v>2.3333333299999999</v>
      </c>
      <c r="P8" s="1">
        <v>15.183015899999999</v>
      </c>
      <c r="Q8" s="1">
        <v>-7.0676322799999998</v>
      </c>
      <c r="R8" s="1">
        <v>-3.7144509499999998</v>
      </c>
      <c r="S8" s="1">
        <v>2.7732680200000002</v>
      </c>
      <c r="T8" s="1">
        <v>59.783333300000002</v>
      </c>
      <c r="U8" s="1">
        <v>2.7732680200000002</v>
      </c>
      <c r="V8" s="1">
        <v>59.783333399999997</v>
      </c>
      <c r="W8" s="1">
        <v>255.247333</v>
      </c>
      <c r="X8" s="1">
        <v>98.620521800000006</v>
      </c>
      <c r="Y8" s="1">
        <v>554.22330099999999</v>
      </c>
      <c r="Z8" s="1">
        <v>1.80597735</v>
      </c>
      <c r="AA8" s="1">
        <v>2.9281229999999998</v>
      </c>
      <c r="AB8" s="1">
        <v>5.3465392999999999</v>
      </c>
      <c r="AC8" s="1">
        <v>2.14704323</v>
      </c>
      <c r="AD8" s="1">
        <v>2.3210419899999999</v>
      </c>
      <c r="AE8" s="1">
        <v>2.2857105799999999</v>
      </c>
      <c r="AF8" s="1">
        <v>3.02549731</v>
      </c>
      <c r="AG8" s="1">
        <v>-0.138667345</v>
      </c>
      <c r="AH8" s="1">
        <v>4.0370748299999999</v>
      </c>
      <c r="AI8" s="1">
        <v>2.1933515300000002</v>
      </c>
      <c r="AJ8" s="1">
        <v>3.4549164000000001</v>
      </c>
      <c r="AK8" s="1">
        <v>2.2623598299999998</v>
      </c>
      <c r="AL8" s="1">
        <v>4.8098136900000004</v>
      </c>
      <c r="AM8" s="1">
        <v>3.78598071</v>
      </c>
      <c r="AN8" s="1">
        <v>-9.8336656199999997</v>
      </c>
      <c r="AO8" s="1">
        <v>-13.4898802</v>
      </c>
      <c r="AP8" s="1">
        <v>31.691965700000001</v>
      </c>
      <c r="AQ8" s="1">
        <v>-14.733063899999999</v>
      </c>
      <c r="AR8" s="1">
        <v>4.8098136900000004</v>
      </c>
      <c r="AS8" s="1">
        <v>3.78598071</v>
      </c>
      <c r="AT8" s="1">
        <v>3.8354981000000001</v>
      </c>
      <c r="AU8" s="1">
        <v>-4.9476374400000003</v>
      </c>
      <c r="AV8" s="1">
        <v>-6.9055426300000002</v>
      </c>
      <c r="AW8" s="1">
        <v>-11.6839028</v>
      </c>
      <c r="AX8" s="1">
        <v>34.620088699999997</v>
      </c>
      <c r="AY8" s="1">
        <v>-12.927086600000001</v>
      </c>
      <c r="AZ8" s="1">
        <v>0.58215842699999998</v>
      </c>
      <c r="BA8" s="1">
        <v>93.176343099999997</v>
      </c>
      <c r="BB8" s="1">
        <v>-6.9008299999999995E-2</v>
      </c>
    </row>
    <row r="9" spans="1:54">
      <c r="A9" t="s">
        <v>87</v>
      </c>
      <c r="B9" s="1">
        <v>1069.62916</v>
      </c>
      <c r="C9" s="1">
        <v>1069.2171499999999</v>
      </c>
      <c r="D9" s="1">
        <v>0.41201209799999999</v>
      </c>
      <c r="E9" s="1">
        <v>435.28769399999999</v>
      </c>
      <c r="F9" s="1">
        <v>438.460555</v>
      </c>
      <c r="G9" s="1">
        <v>2.3533333299999999</v>
      </c>
      <c r="H9" s="1">
        <v>3.6606153099999998</v>
      </c>
      <c r="I9" s="1">
        <v>2.2799999999999998</v>
      </c>
      <c r="J9" s="1">
        <v>454.91879699999998</v>
      </c>
      <c r="K9" s="1">
        <v>3.1180925199999998</v>
      </c>
      <c r="L9" s="1">
        <v>97.752475599999997</v>
      </c>
      <c r="M9" s="1">
        <v>404.25345800000002</v>
      </c>
      <c r="N9" s="1">
        <v>2.19</v>
      </c>
      <c r="O9" s="1">
        <v>1.79666667</v>
      </c>
      <c r="P9" s="1">
        <v>15.9601563</v>
      </c>
      <c r="Q9" s="1">
        <v>-5.5982216400000002</v>
      </c>
      <c r="R9" s="1">
        <v>-0.94988411299999997</v>
      </c>
      <c r="S9" s="1">
        <v>2.6298512199999999</v>
      </c>
      <c r="T9" s="1">
        <v>56.37</v>
      </c>
      <c r="U9" s="1">
        <v>2.6298512199999999</v>
      </c>
      <c r="V9" s="1">
        <v>56.369999700000001</v>
      </c>
      <c r="W9" s="1">
        <v>256.08933300000001</v>
      </c>
      <c r="X9" s="1">
        <v>98.945847299999997</v>
      </c>
      <c r="Y9" s="1">
        <v>554.55263400000001</v>
      </c>
      <c r="Z9" s="1">
        <v>1.73427387</v>
      </c>
      <c r="AA9" s="1">
        <v>1.3173328900000001</v>
      </c>
      <c r="AB9" s="1">
        <v>-1.4767649599999999</v>
      </c>
      <c r="AC9" s="1">
        <v>2.4316002499999998</v>
      </c>
      <c r="AD9" s="1">
        <v>1.5156158799999999</v>
      </c>
      <c r="AE9" s="1">
        <v>2.0961185800000002</v>
      </c>
      <c r="AF9" s="1">
        <v>-2.9923808300000001</v>
      </c>
      <c r="AG9" s="1">
        <v>0.33548167000000001</v>
      </c>
      <c r="AH9" s="1">
        <v>2.34022401</v>
      </c>
      <c r="AI9" s="1">
        <v>2.1831073600000002</v>
      </c>
      <c r="AJ9" s="1">
        <v>1.28484065</v>
      </c>
      <c r="AK9" s="1">
        <v>2.25769909</v>
      </c>
      <c r="AL9" s="1">
        <v>5.8776425799999998</v>
      </c>
      <c r="AM9" s="1">
        <v>2.71626849</v>
      </c>
      <c r="AN9" s="1">
        <v>-22.556988700000002</v>
      </c>
      <c r="AO9" s="1">
        <v>-6.8592480900000004</v>
      </c>
      <c r="AP9" s="1">
        <v>-24.8332582</v>
      </c>
      <c r="AQ9" s="1">
        <v>-23.041863200000002</v>
      </c>
      <c r="AR9" s="1">
        <v>5.8776425799999998</v>
      </c>
      <c r="AS9" s="1">
        <v>2.71626849</v>
      </c>
      <c r="AT9" s="1">
        <v>11.058267300000001</v>
      </c>
      <c r="AU9" s="1">
        <v>3.8746007800000002</v>
      </c>
      <c r="AV9" s="1">
        <v>-21.239655800000001</v>
      </c>
      <c r="AW9" s="1">
        <v>-5.1249742200000004</v>
      </c>
      <c r="AX9" s="1">
        <v>-23.515925299999999</v>
      </c>
      <c r="AY9" s="1">
        <v>-21.3075893</v>
      </c>
      <c r="AZ9" s="1">
        <v>1.05538336</v>
      </c>
      <c r="BA9" s="1">
        <v>94.555595199999999</v>
      </c>
      <c r="BB9" s="1">
        <v>-7.4591729999999995E-2</v>
      </c>
    </row>
    <row r="10" spans="1:54">
      <c r="A10" t="s">
        <v>88</v>
      </c>
      <c r="B10" s="1">
        <v>1065.44073</v>
      </c>
      <c r="C10" s="1">
        <v>1069.3971899999999</v>
      </c>
      <c r="D10" s="1">
        <v>-3.9564691999999999</v>
      </c>
      <c r="E10" s="1">
        <v>436.25562100000002</v>
      </c>
      <c r="F10" s="1">
        <v>438.88712700000002</v>
      </c>
      <c r="G10" s="1">
        <v>1.8133333300000001</v>
      </c>
      <c r="H10" s="1">
        <v>3.6256468900000001</v>
      </c>
      <c r="I10" s="1">
        <v>2.1333333300000001</v>
      </c>
      <c r="J10" s="1">
        <v>460.84422599999999</v>
      </c>
      <c r="K10" s="1">
        <v>3.02961882</v>
      </c>
      <c r="L10" s="1">
        <v>98.602591399999994</v>
      </c>
      <c r="M10" s="1">
        <v>404.58891899999998</v>
      </c>
      <c r="N10" s="1">
        <v>1.6433333299999999</v>
      </c>
      <c r="O10" s="1">
        <v>1.7933333300000001</v>
      </c>
      <c r="P10" s="1">
        <v>13.985781299999999</v>
      </c>
      <c r="Q10" s="1">
        <v>0.32720760799999998</v>
      </c>
      <c r="R10" s="1">
        <v>5.9359822700000002</v>
      </c>
      <c r="S10" s="1">
        <v>2.6709319900000001</v>
      </c>
      <c r="T10" s="1">
        <v>56.9566667</v>
      </c>
      <c r="U10" s="1">
        <v>2.6709319900000001</v>
      </c>
      <c r="V10" s="1">
        <v>56.956666900000002</v>
      </c>
      <c r="W10" s="1">
        <v>257.88799999999998</v>
      </c>
      <c r="X10" s="1">
        <v>99.640802500000007</v>
      </c>
      <c r="Y10" s="1">
        <v>555.25253799999996</v>
      </c>
      <c r="Z10" s="1">
        <v>2.0278838800000001</v>
      </c>
      <c r="AA10" s="1">
        <v>2.7996160799999998</v>
      </c>
      <c r="AB10" s="1">
        <v>-16.753737300000001</v>
      </c>
      <c r="AC10" s="1">
        <v>-3.02535848</v>
      </c>
      <c r="AD10" s="1">
        <v>0.72018793699999994</v>
      </c>
      <c r="AE10" s="1">
        <v>1.70769924</v>
      </c>
      <c r="AF10" s="1">
        <v>-17.4739252</v>
      </c>
      <c r="AG10" s="1">
        <v>-4.7330577199999997</v>
      </c>
      <c r="AH10" s="1">
        <v>3.87170996</v>
      </c>
      <c r="AI10" s="1">
        <v>2.7106350400000001</v>
      </c>
      <c r="AJ10" s="1">
        <v>1.70628888</v>
      </c>
      <c r="AK10" s="1">
        <v>2.3664092000000001</v>
      </c>
      <c r="AL10" s="1">
        <v>23.701716999999999</v>
      </c>
      <c r="AM10" s="1">
        <v>7.8597467999999999</v>
      </c>
      <c r="AN10" s="1">
        <v>3.4004628700000001</v>
      </c>
      <c r="AO10" s="1">
        <v>-6.6631277500000001</v>
      </c>
      <c r="AP10" s="1">
        <v>1.3418410000000001</v>
      </c>
      <c r="AQ10" s="1">
        <v>-5.6824129399999999</v>
      </c>
      <c r="AR10" s="1">
        <v>23.701716999999999</v>
      </c>
      <c r="AS10" s="1">
        <v>7.8597467999999999</v>
      </c>
      <c r="AT10" s="1">
        <v>27.5434655</v>
      </c>
      <c r="AU10" s="1">
        <v>11.8524625</v>
      </c>
      <c r="AV10" s="1">
        <v>6.20007895</v>
      </c>
      <c r="AW10" s="1">
        <v>-4.63524387</v>
      </c>
      <c r="AX10" s="1">
        <v>4.1414570800000003</v>
      </c>
      <c r="AY10" s="1">
        <v>-3.6545290600000002</v>
      </c>
      <c r="AZ10" s="1">
        <v>2.1654210699999998</v>
      </c>
      <c r="BA10" s="1">
        <v>100.327743</v>
      </c>
      <c r="BB10" s="1">
        <v>0.34422584000000001</v>
      </c>
    </row>
    <row r="11" spans="1:54">
      <c r="A11" t="s">
        <v>89</v>
      </c>
      <c r="B11" s="1">
        <v>1067.6913300000001</v>
      </c>
      <c r="C11" s="1">
        <v>1069.80953</v>
      </c>
      <c r="D11" s="1">
        <v>-2.11819772</v>
      </c>
      <c r="E11" s="1">
        <v>437.32337799999999</v>
      </c>
      <c r="F11" s="1">
        <v>439.711995</v>
      </c>
      <c r="G11" s="1">
        <v>1.6266666700000001</v>
      </c>
      <c r="H11" s="1">
        <v>3.5972222199999999</v>
      </c>
      <c r="I11" s="1">
        <v>2.5499999999999998</v>
      </c>
      <c r="J11" s="1">
        <v>465.839968</v>
      </c>
      <c r="K11" s="1">
        <v>-2.5458471600000001</v>
      </c>
      <c r="L11" s="1">
        <v>93.9002816</v>
      </c>
      <c r="M11" s="1">
        <v>382.33375000000001</v>
      </c>
      <c r="N11" s="1">
        <v>1.26</v>
      </c>
      <c r="O11" s="1">
        <v>1.3766666700000001</v>
      </c>
      <c r="P11" s="1">
        <v>31.224516099999999</v>
      </c>
      <c r="Q11" s="1">
        <v>5.3229492399999998</v>
      </c>
      <c r="R11" s="1">
        <v>6.0237974599999999</v>
      </c>
      <c r="S11" s="1">
        <v>2.5574299200000001</v>
      </c>
      <c r="T11" s="1">
        <v>45.756666699999997</v>
      </c>
      <c r="U11" s="1">
        <v>2.5574299200000001</v>
      </c>
      <c r="V11" s="1">
        <v>45.756666600000003</v>
      </c>
      <c r="W11" s="1">
        <v>258.81766699999997</v>
      </c>
      <c r="X11" s="1">
        <v>100</v>
      </c>
      <c r="Y11" s="1">
        <v>555.61238200000003</v>
      </c>
      <c r="Z11" s="1">
        <v>2.1211121899999998</v>
      </c>
      <c r="AA11" s="1">
        <v>1.43937677</v>
      </c>
      <c r="AB11" s="1">
        <v>9.0024182100000001</v>
      </c>
      <c r="AC11" s="1">
        <v>-0.97038617699999996</v>
      </c>
      <c r="AD11" s="1">
        <v>1.6493323</v>
      </c>
      <c r="AE11" s="1">
        <v>1.5515445299999999</v>
      </c>
      <c r="AF11" s="1">
        <v>7.3530859</v>
      </c>
      <c r="AG11" s="1">
        <v>-2.5219307</v>
      </c>
      <c r="AH11" s="1">
        <v>4.2710277300000001</v>
      </c>
      <c r="AI11" s="1">
        <v>3.6300091299999999</v>
      </c>
      <c r="AJ11" s="1">
        <v>3.2994736599999999</v>
      </c>
      <c r="AK11" s="1">
        <v>2.4363798999999999</v>
      </c>
      <c r="AL11" s="1">
        <v>19.9829665</v>
      </c>
      <c r="AM11" s="1">
        <v>13.593034899999999</v>
      </c>
      <c r="AN11" s="1">
        <v>-18.8092389</v>
      </c>
      <c r="AO11" s="1">
        <v>-11.9498576</v>
      </c>
      <c r="AP11" s="1">
        <v>-89.020674499999998</v>
      </c>
      <c r="AQ11" s="1">
        <v>-20.2050315</v>
      </c>
      <c r="AR11" s="1">
        <v>19.9829665</v>
      </c>
      <c r="AS11" s="1">
        <v>13.593034899999999</v>
      </c>
      <c r="AT11" s="1">
        <v>0.351260764</v>
      </c>
      <c r="AU11" s="1">
        <v>10.6971229</v>
      </c>
      <c r="AV11" s="1">
        <v>-17.369862099999999</v>
      </c>
      <c r="AW11" s="1">
        <v>-9.8287453899999999</v>
      </c>
      <c r="AX11" s="1">
        <v>-87.581297699999993</v>
      </c>
      <c r="AY11" s="1">
        <v>-18.083919300000002</v>
      </c>
      <c r="AZ11" s="1">
        <v>0.97155407699999996</v>
      </c>
      <c r="BA11" s="1">
        <v>105.46716600000001</v>
      </c>
      <c r="BB11" s="1">
        <v>1.19362923</v>
      </c>
    </row>
    <row r="12" spans="1:54">
      <c r="A12" t="s">
        <v>90</v>
      </c>
      <c r="B12" s="1">
        <v>1052.78015</v>
      </c>
      <c r="C12" s="1">
        <v>1068.8652199999999</v>
      </c>
      <c r="D12" s="1">
        <v>-16.085071800000001</v>
      </c>
      <c r="E12" s="1">
        <v>437.59421600000002</v>
      </c>
      <c r="F12" s="1">
        <v>440.71085799999997</v>
      </c>
      <c r="G12" s="1">
        <v>0.5</v>
      </c>
      <c r="H12" s="1">
        <v>3.5777777799999999</v>
      </c>
      <c r="I12" s="1">
        <v>2.74</v>
      </c>
      <c r="J12" s="1">
        <v>464.072946</v>
      </c>
      <c r="K12" s="1">
        <v>-5.4659898</v>
      </c>
      <c r="L12" s="1">
        <v>89.476433400000005</v>
      </c>
      <c r="M12" s="1">
        <v>333.50821999999999</v>
      </c>
      <c r="N12" s="1">
        <v>0.06</v>
      </c>
      <c r="O12" s="1">
        <v>0.68666666700000001</v>
      </c>
      <c r="P12" s="1">
        <v>34.493650799999998</v>
      </c>
      <c r="Q12" s="1">
        <v>3.55592723</v>
      </c>
      <c r="R12" s="1">
        <v>-2.2579834399999998</v>
      </c>
      <c r="S12" s="1">
        <v>2.4228824599999998</v>
      </c>
      <c r="T12" s="1">
        <v>27.806666700000001</v>
      </c>
      <c r="U12" s="1">
        <v>2.4228824599999998</v>
      </c>
      <c r="V12" s="1">
        <v>27.806666499999999</v>
      </c>
      <c r="W12" s="1">
        <v>256.29199999999997</v>
      </c>
      <c r="X12" s="1">
        <v>99.024152099999995</v>
      </c>
      <c r="Y12" s="1">
        <v>554.63174200000003</v>
      </c>
      <c r="Z12" s="1">
        <v>0.40844097400000001</v>
      </c>
      <c r="AA12" s="1">
        <v>-3.9225618500000001</v>
      </c>
      <c r="AB12" s="1">
        <v>-59.644717700000001</v>
      </c>
      <c r="AC12" s="1">
        <v>-17.218200400000001</v>
      </c>
      <c r="AD12" s="1">
        <v>-3.7772214100000001</v>
      </c>
      <c r="AE12" s="1">
        <v>2.6978676900000002E-2</v>
      </c>
      <c r="AF12" s="1">
        <v>-55.867496299999999</v>
      </c>
      <c r="AG12" s="1">
        <v>-17.245179100000001</v>
      </c>
      <c r="AH12" s="1">
        <v>1.0833504</v>
      </c>
      <c r="AI12" s="1">
        <v>2.8915780299999998</v>
      </c>
      <c r="AJ12" s="1">
        <v>3.9954509599999999</v>
      </c>
      <c r="AK12" s="1">
        <v>2.5715135400000002</v>
      </c>
      <c r="AL12" s="1">
        <v>-7.0680880500000001</v>
      </c>
      <c r="AM12" s="1">
        <v>10.623559500000001</v>
      </c>
      <c r="AN12" s="1">
        <v>-17.695392900000002</v>
      </c>
      <c r="AO12" s="1">
        <v>-13.915289400000001</v>
      </c>
      <c r="AP12" s="1">
        <v>-195.30211800000001</v>
      </c>
      <c r="AQ12" s="1">
        <v>-76.953552500000001</v>
      </c>
      <c r="AR12" s="1">
        <v>-7.0680880500000001</v>
      </c>
      <c r="AS12" s="1">
        <v>10.623559500000001</v>
      </c>
      <c r="AT12" s="1">
        <v>-33.127123599999997</v>
      </c>
      <c r="AU12" s="1">
        <v>1.45646751</v>
      </c>
      <c r="AV12" s="1">
        <v>-21.617954699999999</v>
      </c>
      <c r="AW12" s="1">
        <v>-13.506848400000001</v>
      </c>
      <c r="AX12" s="1">
        <v>-199.22468000000001</v>
      </c>
      <c r="AY12" s="1">
        <v>-76.545111500000004</v>
      </c>
      <c r="AZ12" s="1">
        <v>-2.9121005599999998</v>
      </c>
      <c r="BA12" s="1">
        <v>103.619907</v>
      </c>
      <c r="BB12" s="1">
        <v>0.32006448999999998</v>
      </c>
    </row>
    <row r="13" spans="1:54">
      <c r="A13" t="s">
        <v>91</v>
      </c>
      <c r="B13" s="1">
        <v>1057.9602400000001</v>
      </c>
      <c r="C13" s="1">
        <v>1068.89327</v>
      </c>
      <c r="D13" s="1">
        <v>-10.933024899999999</v>
      </c>
      <c r="E13" s="1">
        <v>437.92959500000001</v>
      </c>
      <c r="F13" s="1">
        <v>441.09898099999998</v>
      </c>
      <c r="G13" s="1">
        <v>0.5</v>
      </c>
      <c r="H13" s="1">
        <v>3.55833333</v>
      </c>
      <c r="I13" s="1">
        <v>2.6</v>
      </c>
      <c r="J13" s="1">
        <v>461.80498799999998</v>
      </c>
      <c r="K13" s="1">
        <v>-0.18866279599999999</v>
      </c>
      <c r="L13" s="1">
        <v>108.291528</v>
      </c>
      <c r="M13" s="1">
        <v>370.94073200000003</v>
      </c>
      <c r="N13" s="1">
        <v>9.3333333300000001E-2</v>
      </c>
      <c r="O13" s="1">
        <v>0.65</v>
      </c>
      <c r="P13" s="1">
        <v>25.808906199999999</v>
      </c>
      <c r="Q13" s="1">
        <v>1.2879695600000001</v>
      </c>
      <c r="R13" s="1">
        <v>1.8199105099999999</v>
      </c>
      <c r="S13" s="1">
        <v>2.9578865400000001</v>
      </c>
      <c r="T13" s="1">
        <v>40.893333300000002</v>
      </c>
      <c r="U13" s="1">
        <v>2.9578865300000001</v>
      </c>
      <c r="V13" s="1">
        <v>40.893332999999998</v>
      </c>
      <c r="W13" s="1">
        <v>259.22166700000002</v>
      </c>
      <c r="X13" s="1">
        <v>100.156094</v>
      </c>
      <c r="Y13" s="1">
        <v>555.76835500000004</v>
      </c>
      <c r="Z13" s="1">
        <v>1.2157209600000001</v>
      </c>
      <c r="AA13" s="1">
        <v>4.5464528199999998</v>
      </c>
      <c r="AB13" s="1">
        <v>20.720358699999998</v>
      </c>
      <c r="AC13" s="1">
        <v>-11.668919499999999</v>
      </c>
      <c r="AD13" s="1">
        <v>0.112171242</v>
      </c>
      <c r="AE13" s="1">
        <v>-0.32388248200000003</v>
      </c>
      <c r="AF13" s="1">
        <v>20.6081875</v>
      </c>
      <c r="AG13" s="1">
        <v>-11.345037</v>
      </c>
      <c r="AH13" s="1">
        <v>1.3415174000000001</v>
      </c>
      <c r="AI13" s="1">
        <v>2.6419013699999998</v>
      </c>
      <c r="AJ13" s="1">
        <v>1.55249116</v>
      </c>
      <c r="AK13" s="1">
        <v>2.6384261699999998</v>
      </c>
      <c r="AL13" s="1">
        <v>-9.0718306700000007</v>
      </c>
      <c r="AM13" s="1">
        <v>6.8861911999999998</v>
      </c>
      <c r="AN13" s="1">
        <v>75.260378000000003</v>
      </c>
      <c r="AO13" s="1">
        <v>10.5390523</v>
      </c>
      <c r="AP13" s="1">
        <v>149.73004700000001</v>
      </c>
      <c r="AQ13" s="1">
        <v>-33.312726099999999</v>
      </c>
      <c r="AR13" s="1">
        <v>-9.0718306700000007</v>
      </c>
      <c r="AS13" s="1">
        <v>6.8861911999999998</v>
      </c>
      <c r="AT13" s="1">
        <v>16.3115758</v>
      </c>
      <c r="AU13" s="1">
        <v>2.7697946299999998</v>
      </c>
      <c r="AV13" s="1">
        <v>79.8068308</v>
      </c>
      <c r="AW13" s="1">
        <v>11.754773200000001</v>
      </c>
      <c r="AX13" s="1">
        <v>154.2765</v>
      </c>
      <c r="AY13" s="1">
        <v>-32.097005199999998</v>
      </c>
      <c r="AZ13" s="1">
        <v>-0.21097375700000001</v>
      </c>
      <c r="BA13" s="1">
        <v>101.296299</v>
      </c>
      <c r="BB13" s="1">
        <v>3.4751999999999999E-3</v>
      </c>
    </row>
    <row r="14" spans="1:54">
      <c r="A14" t="s">
        <v>92</v>
      </c>
      <c r="B14" s="1">
        <v>1065.48405</v>
      </c>
      <c r="C14" s="1">
        <v>1069.19658</v>
      </c>
      <c r="D14" s="1">
        <v>-3.7125364200000002</v>
      </c>
      <c r="E14" s="1">
        <v>439.10055699999998</v>
      </c>
      <c r="F14" s="1">
        <v>441.975416</v>
      </c>
      <c r="G14" s="1">
        <v>0.5</v>
      </c>
      <c r="H14" s="1">
        <v>3.53888889</v>
      </c>
      <c r="I14" s="1">
        <v>2.5099999999999998</v>
      </c>
      <c r="J14" s="1">
        <v>461.54818399999999</v>
      </c>
      <c r="K14" s="1">
        <v>1.2660194499999999</v>
      </c>
      <c r="L14" s="1">
        <v>117.11435400000001</v>
      </c>
      <c r="M14" s="1">
        <v>373.96577000000002</v>
      </c>
      <c r="N14" s="1">
        <v>0.09</v>
      </c>
      <c r="O14" s="1">
        <v>0.86333333300000004</v>
      </c>
      <c r="P14" s="1">
        <v>25.621718699999999</v>
      </c>
      <c r="Q14" s="1">
        <v>1.0311651799999999</v>
      </c>
      <c r="R14" s="1">
        <v>6.9650386400000004</v>
      </c>
      <c r="S14" s="1">
        <v>3.25402038</v>
      </c>
      <c r="T14" s="1">
        <v>42.453333299999997</v>
      </c>
      <c r="U14" s="1">
        <v>3.2540203999999999</v>
      </c>
      <c r="V14" s="1">
        <v>42.453333499999999</v>
      </c>
      <c r="W14" s="1">
        <v>261.09166699999997</v>
      </c>
      <c r="X14" s="1">
        <v>100.87861100000001</v>
      </c>
      <c r="Y14" s="1">
        <v>556.48715600000003</v>
      </c>
      <c r="Z14" s="1">
        <v>1.2346176799999999</v>
      </c>
      <c r="AA14" s="1">
        <v>2.8752029700000001</v>
      </c>
      <c r="AB14" s="1">
        <v>30.0952214</v>
      </c>
      <c r="AC14" s="1">
        <v>4.33201592E-2</v>
      </c>
      <c r="AD14" s="1">
        <v>1.21326738</v>
      </c>
      <c r="AE14" s="1">
        <v>-0.20061262099999999</v>
      </c>
      <c r="AF14" s="1">
        <v>28.881954</v>
      </c>
      <c r="AG14" s="1">
        <v>0.24393277999999999</v>
      </c>
      <c r="AH14" s="1">
        <v>4.6838457800000004</v>
      </c>
      <c r="AI14" s="1">
        <v>2.8449353300000002</v>
      </c>
      <c r="AJ14" s="1">
        <v>3.5057403499999999</v>
      </c>
      <c r="AK14" s="1">
        <v>3.0882890299999999</v>
      </c>
      <c r="AL14" s="1">
        <v>-1.0272175299999999</v>
      </c>
      <c r="AM14" s="1">
        <v>0.703957571</v>
      </c>
      <c r="AN14" s="1">
        <v>35.291303300000003</v>
      </c>
      <c r="AO14" s="1">
        <v>18.511762399999999</v>
      </c>
      <c r="AP14" s="1">
        <v>12.1001502</v>
      </c>
      <c r="AQ14" s="1">
        <v>-30.623148799999999</v>
      </c>
      <c r="AR14" s="1">
        <v>-1.0272175299999999</v>
      </c>
      <c r="AS14" s="1">
        <v>0.703957571</v>
      </c>
      <c r="AT14" s="1">
        <v>20.580512500000001</v>
      </c>
      <c r="AU14" s="1">
        <v>1.0290563699999999</v>
      </c>
      <c r="AV14" s="1">
        <v>38.166506300000002</v>
      </c>
      <c r="AW14" s="1">
        <v>19.7463801</v>
      </c>
      <c r="AX14" s="1">
        <v>14.9753531</v>
      </c>
      <c r="AY14" s="1">
        <v>-29.388531100000002</v>
      </c>
      <c r="AZ14" s="1">
        <v>1.1781054399999999</v>
      </c>
      <c r="BA14" s="1">
        <v>101.0365</v>
      </c>
      <c r="BB14" s="1">
        <v>-0.24335370000000001</v>
      </c>
    </row>
    <row r="15" spans="1:54">
      <c r="A15" t="s">
        <v>93</v>
      </c>
      <c r="B15" s="1">
        <v>1069.8896299999999</v>
      </c>
      <c r="C15" s="1">
        <v>1070.36663</v>
      </c>
      <c r="D15" s="1">
        <v>-0.47699999999999998</v>
      </c>
      <c r="E15" s="1">
        <v>440.22794399999998</v>
      </c>
      <c r="F15" s="1">
        <v>442.84555</v>
      </c>
      <c r="G15" s="1">
        <v>0.5</v>
      </c>
      <c r="H15" s="1">
        <v>3.51944444</v>
      </c>
      <c r="I15" s="1">
        <v>2.3266666699999998</v>
      </c>
      <c r="J15" s="1">
        <v>458.67967499999997</v>
      </c>
      <c r="K15" s="1">
        <v>7.6445586700000003</v>
      </c>
      <c r="L15" s="1">
        <v>132.81477100000001</v>
      </c>
      <c r="M15" s="1">
        <v>403.796696</v>
      </c>
      <c r="N15" s="1">
        <v>0.08</v>
      </c>
      <c r="O15" s="1">
        <v>1.31666667</v>
      </c>
      <c r="P15" s="1">
        <v>23.202459000000001</v>
      </c>
      <c r="Q15" s="1">
        <v>-1.8373433800000001</v>
      </c>
      <c r="R15" s="1">
        <v>16.070394199999999</v>
      </c>
      <c r="S15" s="1">
        <v>3.8458571500000001</v>
      </c>
      <c r="T15" s="1">
        <v>57.79</v>
      </c>
      <c r="U15" s="1">
        <v>3.8458571400000001</v>
      </c>
      <c r="V15" s="1">
        <v>57.79</v>
      </c>
      <c r="W15" s="1">
        <v>263.74233299999997</v>
      </c>
      <c r="X15" s="1">
        <v>101.902755</v>
      </c>
      <c r="Y15" s="1">
        <v>557.49726199999998</v>
      </c>
      <c r="Z15" s="1">
        <v>1.8848792400000001</v>
      </c>
      <c r="AA15" s="1">
        <v>4.0404229999999997</v>
      </c>
      <c r="AB15" s="1">
        <v>17.622354099999999</v>
      </c>
      <c r="AC15" s="1">
        <v>2.1983041299999999</v>
      </c>
      <c r="AD15" s="1">
        <v>4.6802084099999997</v>
      </c>
      <c r="AE15" s="1">
        <v>0.557106404</v>
      </c>
      <c r="AF15" s="1">
        <v>12.942145699999999</v>
      </c>
      <c r="AG15" s="1">
        <v>1.6411977200000001</v>
      </c>
      <c r="AH15" s="1">
        <v>4.5095499400000003</v>
      </c>
      <c r="AI15" s="1">
        <v>2.9045658799999998</v>
      </c>
      <c r="AJ15" s="1">
        <v>3.4805372999999999</v>
      </c>
      <c r="AK15" s="1">
        <v>3.1335549399999998</v>
      </c>
      <c r="AL15" s="1">
        <v>-11.4740343</v>
      </c>
      <c r="AM15" s="1">
        <v>-7.1602926299999998</v>
      </c>
      <c r="AN15" s="1">
        <v>62.801669400000002</v>
      </c>
      <c r="AO15" s="1">
        <v>38.914489400000001</v>
      </c>
      <c r="AP15" s="1">
        <v>119.32370400000001</v>
      </c>
      <c r="AQ15" s="1">
        <v>21.462945699999999</v>
      </c>
      <c r="AR15" s="1">
        <v>-11.4740343</v>
      </c>
      <c r="AS15" s="1">
        <v>-7.1602926299999998</v>
      </c>
      <c r="AT15" s="1">
        <v>36.421422399999997</v>
      </c>
      <c r="AU15" s="1">
        <v>10.0465968</v>
      </c>
      <c r="AV15" s="1">
        <v>66.842092399999999</v>
      </c>
      <c r="AW15" s="1">
        <v>40.799368700000002</v>
      </c>
      <c r="AX15" s="1">
        <v>123.364127</v>
      </c>
      <c r="AY15" s="1">
        <v>23.347825</v>
      </c>
      <c r="AZ15" s="1">
        <v>1.0290126399999999</v>
      </c>
      <c r="BA15" s="1">
        <v>98.179432700000007</v>
      </c>
      <c r="BB15" s="1">
        <v>-0.22898905999999999</v>
      </c>
    </row>
    <row r="16" spans="1:54">
      <c r="A16" t="s">
        <v>94</v>
      </c>
      <c r="B16" s="1">
        <v>1070.85923</v>
      </c>
      <c r="C16" s="1">
        <v>1071.5552299999999</v>
      </c>
      <c r="D16" s="1">
        <v>-0.69599999999999995</v>
      </c>
      <c r="E16" s="1">
        <v>441.12095199999999</v>
      </c>
      <c r="F16" s="1">
        <v>443.89060999999998</v>
      </c>
      <c r="G16" s="1">
        <v>0.5</v>
      </c>
      <c r="H16" s="1">
        <v>3.5</v>
      </c>
      <c r="I16" s="1">
        <v>2.39</v>
      </c>
      <c r="J16" s="1">
        <v>458.69543700000003</v>
      </c>
      <c r="K16" s="1">
        <v>11.0326852</v>
      </c>
      <c r="L16" s="1">
        <v>144.57625999999999</v>
      </c>
      <c r="M16" s="1">
        <v>415.41029200000003</v>
      </c>
      <c r="N16" s="1">
        <v>7.0000000000000007E-2</v>
      </c>
      <c r="O16" s="1">
        <v>1.5933333300000001</v>
      </c>
      <c r="P16" s="1">
        <v>18</v>
      </c>
      <c r="Q16" s="1">
        <v>-1.82158189</v>
      </c>
      <c r="R16" s="1">
        <v>30.602322000000001</v>
      </c>
      <c r="S16" s="1">
        <v>4.4047219499999999</v>
      </c>
      <c r="T16" s="1">
        <v>66.09</v>
      </c>
      <c r="U16" s="1">
        <v>4.4047219499999999</v>
      </c>
      <c r="V16" s="1">
        <v>66.090000500000002</v>
      </c>
      <c r="W16" s="1">
        <v>268.55033300000002</v>
      </c>
      <c r="X16" s="1">
        <v>103.760434</v>
      </c>
      <c r="Y16" s="1">
        <v>559.30383600000005</v>
      </c>
      <c r="Z16" s="1">
        <v>4.6720938099999998</v>
      </c>
      <c r="AA16" s="1">
        <v>7.2262964600000004</v>
      </c>
      <c r="AB16" s="1">
        <v>3.87837056</v>
      </c>
      <c r="AC16" s="1">
        <v>18.079076199999999</v>
      </c>
      <c r="AD16" s="1">
        <v>4.7543705599999999</v>
      </c>
      <c r="AE16" s="1">
        <v>2.6900043999999999</v>
      </c>
      <c r="AF16" s="1">
        <v>-0.876</v>
      </c>
      <c r="AG16" s="1">
        <v>15.3890718</v>
      </c>
      <c r="AH16" s="1">
        <v>3.5720294300000002</v>
      </c>
      <c r="AI16" s="1">
        <v>3.5267356400000001</v>
      </c>
      <c r="AJ16" s="1">
        <v>4.1802407099999996</v>
      </c>
      <c r="AK16" s="1">
        <v>3.17975238</v>
      </c>
      <c r="AL16" s="1">
        <v>6.3045970000000007E-2</v>
      </c>
      <c r="AM16" s="1">
        <v>-5.37750912</v>
      </c>
      <c r="AN16" s="1">
        <v>47.045956199999999</v>
      </c>
      <c r="AO16" s="1">
        <v>55.099826700000001</v>
      </c>
      <c r="AP16" s="1">
        <v>46.454383200000002</v>
      </c>
      <c r="AQ16" s="1">
        <v>81.902071100000001</v>
      </c>
      <c r="AR16" s="1">
        <v>6.3045970000000007E-2</v>
      </c>
      <c r="AS16" s="1">
        <v>-5.37750912</v>
      </c>
      <c r="AT16" s="1">
        <v>58.127710999999998</v>
      </c>
      <c r="AU16" s="1">
        <v>32.860305400000001</v>
      </c>
      <c r="AV16" s="1">
        <v>54.272252600000002</v>
      </c>
      <c r="AW16" s="1">
        <v>59.7719205</v>
      </c>
      <c r="AX16" s="1">
        <v>53.680679699999999</v>
      </c>
      <c r="AY16" s="1">
        <v>86.5741649</v>
      </c>
      <c r="AZ16" s="1">
        <v>-0.60821128099999999</v>
      </c>
      <c r="BA16" s="1">
        <v>98.194908900000001</v>
      </c>
      <c r="BB16" s="1">
        <v>0.34698326000000002</v>
      </c>
    </row>
    <row r="17" spans="1:54">
      <c r="A17" t="s">
        <v>95</v>
      </c>
      <c r="B17" s="1">
        <v>1076.40128</v>
      </c>
      <c r="C17" s="1">
        <v>1073.03828</v>
      </c>
      <c r="D17" s="1">
        <v>3.363</v>
      </c>
      <c r="E17" s="1">
        <v>442.70072900000002</v>
      </c>
      <c r="F17" s="1">
        <v>444.94678299999998</v>
      </c>
      <c r="G17" s="1">
        <v>0.96</v>
      </c>
      <c r="H17" s="1">
        <v>3.5416666700000001</v>
      </c>
      <c r="I17" s="1">
        <v>3.1466666700000001</v>
      </c>
      <c r="J17" s="1">
        <v>465.56090599999999</v>
      </c>
      <c r="K17" s="1">
        <v>4.7908857300000003</v>
      </c>
      <c r="L17" s="1">
        <v>139.44156899999999</v>
      </c>
      <c r="M17" s="1">
        <v>420.46367500000002</v>
      </c>
      <c r="N17" s="1">
        <v>0.09</v>
      </c>
      <c r="O17" s="1">
        <v>1.3233333300000001</v>
      </c>
      <c r="P17" s="1">
        <v>18.287343799999999</v>
      </c>
      <c r="Q17" s="1">
        <v>5.0438877900000003</v>
      </c>
      <c r="R17" s="1">
        <v>28.339371499999999</v>
      </c>
      <c r="S17" s="1">
        <v>4.2509374299999996</v>
      </c>
      <c r="T17" s="1">
        <v>70.623333299999999</v>
      </c>
      <c r="U17" s="1">
        <v>4.2509374500000003</v>
      </c>
      <c r="V17" s="1">
        <v>70.623333700000003</v>
      </c>
      <c r="W17" s="1">
        <v>272.82966699999997</v>
      </c>
      <c r="X17" s="1">
        <v>105.41385</v>
      </c>
      <c r="Y17" s="1">
        <v>560.88476700000001</v>
      </c>
      <c r="Z17" s="1">
        <v>5.1164117300000003</v>
      </c>
      <c r="AA17" s="1">
        <v>6.3237245</v>
      </c>
      <c r="AB17" s="1">
        <v>22.1682208</v>
      </c>
      <c r="AC17" s="1">
        <v>18.4410417</v>
      </c>
      <c r="AD17" s="1">
        <v>5.9322208300000003</v>
      </c>
      <c r="AE17" s="1">
        <v>4.1450167899999997</v>
      </c>
      <c r="AF17" s="1">
        <v>16.236000000000001</v>
      </c>
      <c r="AG17" s="1">
        <v>14.296024900000001</v>
      </c>
      <c r="AH17" s="1">
        <v>6.3191095300000004</v>
      </c>
      <c r="AI17" s="1">
        <v>4.7711336700000002</v>
      </c>
      <c r="AJ17" s="1">
        <v>4.2246924400000001</v>
      </c>
      <c r="AK17" s="1">
        <v>3.8478026999999999</v>
      </c>
      <c r="AL17" s="1">
        <v>27.4618787</v>
      </c>
      <c r="AM17" s="1">
        <v>3.7559182299999998</v>
      </c>
      <c r="AN17" s="1">
        <v>-20.538765900000001</v>
      </c>
      <c r="AO17" s="1">
        <v>31.150040700000002</v>
      </c>
      <c r="AP17" s="1">
        <v>20.2135319</v>
      </c>
      <c r="AQ17" s="1">
        <v>49.522942200000003</v>
      </c>
      <c r="AR17" s="1">
        <v>27.4618787</v>
      </c>
      <c r="AS17" s="1">
        <v>3.7559182299999998</v>
      </c>
      <c r="AT17" s="1">
        <v>-9.0518021300000004</v>
      </c>
      <c r="AU17" s="1">
        <v>26.519460899999999</v>
      </c>
      <c r="AV17" s="1">
        <v>-14.2150414</v>
      </c>
      <c r="AW17" s="1">
        <v>36.2664525</v>
      </c>
      <c r="AX17" s="1">
        <v>26.5372564</v>
      </c>
      <c r="AY17" s="1">
        <v>54.639353999999997</v>
      </c>
      <c r="AZ17" s="1">
        <v>2.0944170899999999</v>
      </c>
      <c r="BA17" s="1">
        <v>105.17325700000001</v>
      </c>
      <c r="BB17" s="1">
        <v>0.92333096999999997</v>
      </c>
    </row>
    <row r="18" spans="1:54">
      <c r="A18" t="s">
        <v>96</v>
      </c>
      <c r="B18" s="1">
        <v>1078.3225399999999</v>
      </c>
      <c r="C18" s="1">
        <v>1074.17254</v>
      </c>
      <c r="D18" s="1">
        <v>4.1500000000000004</v>
      </c>
      <c r="E18" s="1">
        <v>445.52344299999999</v>
      </c>
      <c r="F18" s="1">
        <v>446.59074900000002</v>
      </c>
      <c r="G18" s="1">
        <v>2.82</v>
      </c>
      <c r="H18" s="1">
        <v>3.5833333299999999</v>
      </c>
      <c r="I18" s="1">
        <v>3.8233333300000001</v>
      </c>
      <c r="J18" s="1">
        <v>470.71031199999999</v>
      </c>
      <c r="K18" s="1">
        <v>4.1410636600000004</v>
      </c>
      <c r="L18" s="1">
        <v>140.71155300000001</v>
      </c>
      <c r="M18" s="1">
        <v>427.53215</v>
      </c>
      <c r="N18" s="1">
        <v>0.08</v>
      </c>
      <c r="O18" s="1">
        <v>1.53666667</v>
      </c>
      <c r="P18" s="1">
        <v>19.275156200000001</v>
      </c>
      <c r="Q18" s="1">
        <v>10.193293799999999</v>
      </c>
      <c r="R18" s="1">
        <v>24.4029591</v>
      </c>
      <c r="S18" s="1">
        <v>4.3990277899999999</v>
      </c>
      <c r="T18" s="1">
        <v>77.446666699999994</v>
      </c>
      <c r="U18" s="1">
        <v>4.3990277899999999</v>
      </c>
      <c r="V18" s="1">
        <v>77.446666800000003</v>
      </c>
      <c r="W18" s="1">
        <v>278.77133300000003</v>
      </c>
      <c r="X18" s="1">
        <v>107.709546</v>
      </c>
      <c r="Y18" s="1">
        <v>563.03918499999997</v>
      </c>
      <c r="Z18" s="1">
        <v>6.5520293000000001</v>
      </c>
      <c r="AA18" s="1">
        <v>8.6176732600000001</v>
      </c>
      <c r="AB18" s="1">
        <v>7.6850115600000004</v>
      </c>
      <c r="AC18" s="1">
        <v>12.838489300000001</v>
      </c>
      <c r="AD18" s="1">
        <v>4.5370115599999998</v>
      </c>
      <c r="AE18" s="1">
        <v>4.9759528399999997</v>
      </c>
      <c r="AF18" s="1">
        <v>3.1480000000000001</v>
      </c>
      <c r="AG18" s="1">
        <v>7.8625364199999996</v>
      </c>
      <c r="AH18" s="1">
        <v>11.290854100000001</v>
      </c>
      <c r="AI18" s="1">
        <v>6.4228857499999998</v>
      </c>
      <c r="AJ18" s="1">
        <v>6.5758620700000003</v>
      </c>
      <c r="AK18" s="1">
        <v>4.6153331299999998</v>
      </c>
      <c r="AL18" s="1">
        <v>20.597623899999999</v>
      </c>
      <c r="AM18" s="1">
        <v>9.16212859</v>
      </c>
      <c r="AN18" s="1">
        <v>5.0799381400000003</v>
      </c>
      <c r="AO18" s="1">
        <v>23.597199400000001</v>
      </c>
      <c r="AP18" s="1">
        <v>28.273901599999999</v>
      </c>
      <c r="AQ18" s="1">
        <v>53.566380100000003</v>
      </c>
      <c r="AR18" s="1">
        <v>20.597623899999999</v>
      </c>
      <c r="AS18" s="1">
        <v>9.16212859</v>
      </c>
      <c r="AT18" s="1">
        <v>-15.745649200000001</v>
      </c>
      <c r="AU18" s="1">
        <v>17.437920500000001</v>
      </c>
      <c r="AV18" s="1">
        <v>13.6976114</v>
      </c>
      <c r="AW18" s="1">
        <v>30.149228699999998</v>
      </c>
      <c r="AX18" s="1">
        <v>36.891574800000001</v>
      </c>
      <c r="AY18" s="1">
        <v>60.118409399999997</v>
      </c>
      <c r="AZ18" s="1">
        <v>4.7149920300000003</v>
      </c>
      <c r="BA18" s="1">
        <v>110.730921</v>
      </c>
      <c r="BB18" s="1">
        <v>1.8075526200000001</v>
      </c>
    </row>
    <row r="19" spans="1:54">
      <c r="A19" t="s">
        <v>97</v>
      </c>
      <c r="B19" s="1">
        <v>1077.9225300000001</v>
      </c>
      <c r="C19" s="1">
        <v>1074.8335300000001</v>
      </c>
      <c r="D19" s="1">
        <v>3.089</v>
      </c>
      <c r="E19" s="1">
        <v>448.21033699999998</v>
      </c>
      <c r="F19" s="1">
        <v>449.28044399999999</v>
      </c>
      <c r="G19" s="1">
        <v>5.1133333299999997</v>
      </c>
      <c r="H19" s="1">
        <v>3.625</v>
      </c>
      <c r="I19" s="1">
        <v>4.2300000000000004</v>
      </c>
      <c r="J19" s="1">
        <v>469.40004699999997</v>
      </c>
      <c r="K19" s="1">
        <v>3.9053349100000001</v>
      </c>
      <c r="L19" s="1">
        <v>141.44989000000001</v>
      </c>
      <c r="M19" s="1">
        <v>445.20715799999999</v>
      </c>
      <c r="N19" s="1">
        <v>0.12</v>
      </c>
      <c r="O19" s="1">
        <v>1.94</v>
      </c>
      <c r="P19" s="1">
        <v>25.3729032</v>
      </c>
      <c r="Q19" s="1">
        <v>8.8830285599999996</v>
      </c>
      <c r="R19" s="1">
        <v>22.594613200000001</v>
      </c>
      <c r="S19" s="1">
        <v>4.5291451199999999</v>
      </c>
      <c r="T19" s="1">
        <v>94.453333299999997</v>
      </c>
      <c r="U19" s="1">
        <v>4.5291451299999999</v>
      </c>
      <c r="V19" s="1">
        <v>94.453333599999993</v>
      </c>
      <c r="W19" s="1">
        <v>284.90566699999999</v>
      </c>
      <c r="X19" s="1">
        <v>110.079683</v>
      </c>
      <c r="Y19" s="1">
        <v>565.21581300000003</v>
      </c>
      <c r="Z19" s="1">
        <v>7.7185514900000003</v>
      </c>
      <c r="AA19" s="1">
        <v>8.7065117399999998</v>
      </c>
      <c r="AB19" s="1">
        <v>-1.60003579</v>
      </c>
      <c r="AC19" s="1">
        <v>8.0328917900000008</v>
      </c>
      <c r="AD19" s="1">
        <v>2.64396421</v>
      </c>
      <c r="AE19" s="1">
        <v>4.46689179</v>
      </c>
      <c r="AF19" s="1">
        <v>-4.2439999999999998</v>
      </c>
      <c r="AG19" s="1">
        <v>3.5659999999999998</v>
      </c>
      <c r="AH19" s="1">
        <v>10.747578000000001</v>
      </c>
      <c r="AI19" s="1">
        <v>7.9823927599999998</v>
      </c>
      <c r="AJ19" s="1">
        <v>10.7587803</v>
      </c>
      <c r="AK19" s="1">
        <v>6.4348938899999997</v>
      </c>
      <c r="AL19" s="1">
        <v>-5.2410608300000003</v>
      </c>
      <c r="AM19" s="1">
        <v>10.7203719</v>
      </c>
      <c r="AN19" s="1">
        <v>2.9533470099999999</v>
      </c>
      <c r="AO19" s="1">
        <v>8.6351188499999996</v>
      </c>
      <c r="AP19" s="1">
        <v>70.7000314</v>
      </c>
      <c r="AQ19" s="1">
        <v>41.410462000000003</v>
      </c>
      <c r="AR19" s="1">
        <v>-5.2410608300000003</v>
      </c>
      <c r="AS19" s="1">
        <v>10.7203719</v>
      </c>
      <c r="AT19" s="1">
        <v>-7.2333836900000001</v>
      </c>
      <c r="AU19" s="1">
        <v>6.5242189699999997</v>
      </c>
      <c r="AV19" s="1">
        <v>11.659858699999999</v>
      </c>
      <c r="AW19" s="1">
        <v>16.353670300000001</v>
      </c>
      <c r="AX19" s="1">
        <v>79.406543200000002</v>
      </c>
      <c r="AY19" s="1">
        <v>49.129013499999999</v>
      </c>
      <c r="AZ19" s="1">
        <v>-1.12023635E-2</v>
      </c>
      <c r="BA19" s="1">
        <v>109.28951600000001</v>
      </c>
      <c r="BB19" s="1">
        <v>1.5474988700000001</v>
      </c>
    </row>
    <row r="20" spans="1:54">
      <c r="A20" t="s">
        <v>98</v>
      </c>
      <c r="B20" s="1">
        <v>1077.67616</v>
      </c>
      <c r="C20" s="1">
        <v>1075.41616</v>
      </c>
      <c r="D20" s="1">
        <v>2.2599999999999998</v>
      </c>
      <c r="E20" s="1">
        <v>452.02348799999999</v>
      </c>
      <c r="F20" s="1">
        <v>452.37881299999998</v>
      </c>
      <c r="G20" s="1">
        <v>7.9433333299999997</v>
      </c>
      <c r="H20" s="1">
        <v>3.6666666700000001</v>
      </c>
      <c r="I20" s="1">
        <v>3.9266666699999999</v>
      </c>
      <c r="J20" s="1">
        <v>470.01520399999998</v>
      </c>
      <c r="K20" s="1">
        <v>2.1826861000000002</v>
      </c>
      <c r="L20" s="1">
        <v>134.423879</v>
      </c>
      <c r="M20" s="1">
        <v>456.95289600000001</v>
      </c>
      <c r="N20" s="1">
        <v>0.77</v>
      </c>
      <c r="O20" s="1">
        <v>2.93</v>
      </c>
      <c r="P20" s="1">
        <v>27.3984375</v>
      </c>
      <c r="Q20" s="1">
        <v>9.4981852999999994</v>
      </c>
      <c r="R20" s="1">
        <v>23.0433561</v>
      </c>
      <c r="S20" s="1">
        <v>4.3211270400000004</v>
      </c>
      <c r="T20" s="1">
        <v>108.723333</v>
      </c>
      <c r="U20" s="1">
        <v>4.3211270300000004</v>
      </c>
      <c r="V20" s="1">
        <v>108.723333</v>
      </c>
      <c r="W20" s="1">
        <v>291.60533299999997</v>
      </c>
      <c r="X20" s="1">
        <v>112.668249</v>
      </c>
      <c r="Y20" s="1">
        <v>567.54012899999998</v>
      </c>
      <c r="Z20" s="1">
        <v>8.2362932299999994</v>
      </c>
      <c r="AA20" s="1">
        <v>9.2972634099999993</v>
      </c>
      <c r="AB20" s="1">
        <v>-0.98547455699999997</v>
      </c>
      <c r="AC20" s="1">
        <v>6.8169305099999997</v>
      </c>
      <c r="AD20" s="1">
        <v>2.3305254400000002</v>
      </c>
      <c r="AE20" s="1">
        <v>3.8609305100000002</v>
      </c>
      <c r="AF20" s="1">
        <v>-3.3159999999999998</v>
      </c>
      <c r="AG20" s="1">
        <v>2.956</v>
      </c>
      <c r="AH20" s="1">
        <v>15.2526054</v>
      </c>
      <c r="AI20" s="1">
        <v>10.902536700000001</v>
      </c>
      <c r="AJ20" s="1">
        <v>12.3934768</v>
      </c>
      <c r="AK20" s="1">
        <v>8.4882029299999999</v>
      </c>
      <c r="AL20" s="1">
        <v>2.46062695</v>
      </c>
      <c r="AM20" s="1">
        <v>11.319767199999999</v>
      </c>
      <c r="AN20" s="1">
        <v>-28.1040435</v>
      </c>
      <c r="AO20" s="1">
        <v>-10.152381099999999</v>
      </c>
      <c r="AP20" s="1">
        <v>46.982954100000001</v>
      </c>
      <c r="AQ20" s="1">
        <v>41.542604699999998</v>
      </c>
      <c r="AR20" s="1">
        <v>2.46062695</v>
      </c>
      <c r="AS20" s="1">
        <v>11.319767199999999</v>
      </c>
      <c r="AT20" s="1">
        <v>1.7949714400000001</v>
      </c>
      <c r="AU20" s="1">
        <v>-7.5589659100000004</v>
      </c>
      <c r="AV20" s="1">
        <v>-18.80678</v>
      </c>
      <c r="AW20" s="1">
        <v>-1.9160878299999999</v>
      </c>
      <c r="AX20" s="1">
        <v>56.280217499999999</v>
      </c>
      <c r="AY20" s="1">
        <v>49.778897999999998</v>
      </c>
      <c r="AZ20" s="1">
        <v>2.8591285200000001</v>
      </c>
      <c r="BA20" s="1">
        <v>109.96389000000001</v>
      </c>
      <c r="BB20" s="1">
        <v>2.4143337699999998</v>
      </c>
    </row>
    <row r="21" spans="1:54">
      <c r="A21" t="s">
        <v>99</v>
      </c>
      <c r="B21" s="1">
        <v>1077.87481</v>
      </c>
      <c r="C21" s="1">
        <v>1076.0558100000001</v>
      </c>
      <c r="D21" s="1">
        <v>1.819</v>
      </c>
      <c r="E21" s="1">
        <v>455.49418200000002</v>
      </c>
      <c r="F21" s="1">
        <v>454.757656</v>
      </c>
      <c r="G21" s="1">
        <v>9.91</v>
      </c>
      <c r="H21" s="1">
        <v>3.7083333299999999</v>
      </c>
      <c r="I21" s="1">
        <v>3.8333333299999999</v>
      </c>
      <c r="J21" s="1">
        <v>474.00777699999998</v>
      </c>
      <c r="K21" s="1">
        <v>3.4176065800000002</v>
      </c>
      <c r="L21" s="1">
        <v>112.37052</v>
      </c>
      <c r="M21" s="1">
        <v>440.21829300000002</v>
      </c>
      <c r="N21" s="1">
        <v>2.19</v>
      </c>
      <c r="O21" s="1">
        <v>3.1066666700000001</v>
      </c>
      <c r="P21" s="1">
        <v>24.792727299999999</v>
      </c>
      <c r="Q21" s="1">
        <v>13.490758599999999</v>
      </c>
      <c r="R21" s="1">
        <v>9.0471019899999998</v>
      </c>
      <c r="S21" s="1">
        <v>3.5116680300000001</v>
      </c>
      <c r="T21" s="1">
        <v>93.183333300000001</v>
      </c>
      <c r="U21" s="1">
        <v>3.5116680300000001</v>
      </c>
      <c r="V21" s="1">
        <v>93.183333000000005</v>
      </c>
      <c r="W21" s="1">
        <v>295.45299999999997</v>
      </c>
      <c r="X21" s="1">
        <v>114.154881</v>
      </c>
      <c r="Y21" s="1">
        <v>568.85097699999994</v>
      </c>
      <c r="Z21" s="1">
        <v>7.9662102900000002</v>
      </c>
      <c r="AA21" s="1">
        <v>5.2433927499999999</v>
      </c>
      <c r="AB21" s="1">
        <v>0.79460593400000001</v>
      </c>
      <c r="AC21" s="1">
        <v>1.47352679</v>
      </c>
      <c r="AD21" s="1">
        <v>2.5586059300000001</v>
      </c>
      <c r="AE21" s="1">
        <v>3.0175267899999998</v>
      </c>
      <c r="AF21" s="1">
        <v>-1.764</v>
      </c>
      <c r="AG21" s="1">
        <v>-1.544</v>
      </c>
      <c r="AH21" s="1">
        <v>13.882774700000001</v>
      </c>
      <c r="AI21" s="1">
        <v>12.793453</v>
      </c>
      <c r="AJ21" s="1">
        <v>9.5153727700000008</v>
      </c>
      <c r="AK21" s="1">
        <v>9.8108730099999999</v>
      </c>
      <c r="AL21" s="1">
        <v>15.9702932</v>
      </c>
      <c r="AM21" s="1">
        <v>8.4468708100000001</v>
      </c>
      <c r="AN21" s="1">
        <v>-88.213436900000005</v>
      </c>
      <c r="AO21" s="1">
        <v>-27.0710488</v>
      </c>
      <c r="AP21" s="1">
        <v>-66.938412900000003</v>
      </c>
      <c r="AQ21" s="1">
        <v>19.754618600000001</v>
      </c>
      <c r="AR21" s="1">
        <v>15.9702932</v>
      </c>
      <c r="AS21" s="1">
        <v>8.4468708100000001</v>
      </c>
      <c r="AT21" s="1">
        <v>-55.985016299999998</v>
      </c>
      <c r="AU21" s="1">
        <v>-19.2922695</v>
      </c>
      <c r="AV21" s="1">
        <v>-82.970044200000004</v>
      </c>
      <c r="AW21" s="1">
        <v>-19.1048385</v>
      </c>
      <c r="AX21" s="1">
        <v>-61.695020100000001</v>
      </c>
      <c r="AY21" s="1">
        <v>27.7208288</v>
      </c>
      <c r="AZ21" s="1">
        <v>4.3674019099999999</v>
      </c>
      <c r="BA21" s="1">
        <v>114.443102</v>
      </c>
      <c r="BB21" s="1">
        <v>2.9825799900000001</v>
      </c>
    </row>
    <row r="22" spans="1:54">
      <c r="A22" t="s">
        <v>100</v>
      </c>
      <c r="B22" s="1">
        <v>1076.50125</v>
      </c>
      <c r="C22" s="1">
        <v>1076.66725</v>
      </c>
      <c r="D22" s="1">
        <v>-0.16600000000000001</v>
      </c>
      <c r="E22" s="1">
        <v>457.72428000000002</v>
      </c>
      <c r="F22" s="1">
        <v>456.406002</v>
      </c>
      <c r="G22" s="1">
        <v>11.19</v>
      </c>
      <c r="H22" s="1">
        <v>3.75</v>
      </c>
      <c r="I22" s="1">
        <v>4.5599999999999996</v>
      </c>
      <c r="J22" s="1">
        <v>468.93071099999997</v>
      </c>
      <c r="K22" s="1">
        <v>2.3235082600000001</v>
      </c>
      <c r="L22" s="1">
        <v>114.687573</v>
      </c>
      <c r="M22" s="1">
        <v>427.34813300000002</v>
      </c>
      <c r="N22" s="1">
        <v>3.6533333300000002</v>
      </c>
      <c r="O22" s="1">
        <v>3.83</v>
      </c>
      <c r="P22" s="1">
        <v>25.002656300000002</v>
      </c>
      <c r="Q22" s="1">
        <v>8.4136928599999994</v>
      </c>
      <c r="R22" s="1">
        <v>0.81827158499999997</v>
      </c>
      <c r="S22" s="1">
        <v>3.6315567400000002</v>
      </c>
      <c r="T22" s="1">
        <v>82.786666699999998</v>
      </c>
      <c r="U22" s="1">
        <v>3.63155677</v>
      </c>
      <c r="V22" s="1">
        <v>82.786666699999998</v>
      </c>
      <c r="W22" s="1">
        <v>298.54166700000002</v>
      </c>
      <c r="X22" s="1">
        <v>115.348257</v>
      </c>
      <c r="Y22" s="1">
        <v>569.89095099999997</v>
      </c>
      <c r="Z22" s="1">
        <v>6.85176579</v>
      </c>
      <c r="AA22" s="1">
        <v>4.1598952699999998</v>
      </c>
      <c r="AB22" s="1">
        <v>-5.4942340500000002</v>
      </c>
      <c r="AC22" s="1">
        <v>-1.8212846199999999</v>
      </c>
      <c r="AD22" s="1">
        <v>2.4457659500000002</v>
      </c>
      <c r="AE22" s="1">
        <v>2.4947153800000001</v>
      </c>
      <c r="AF22" s="1">
        <v>-7.94</v>
      </c>
      <c r="AG22" s="1">
        <v>-4.3159999999999998</v>
      </c>
      <c r="AH22" s="1">
        <v>8.9203918499999997</v>
      </c>
      <c r="AI22" s="1">
        <v>12.2008375</v>
      </c>
      <c r="AJ22" s="1">
        <v>6.5933813299999997</v>
      </c>
      <c r="AK22" s="1">
        <v>9.8152528199999995</v>
      </c>
      <c r="AL22" s="1">
        <v>-20.308263</v>
      </c>
      <c r="AM22" s="1">
        <v>-1.7796009100000001</v>
      </c>
      <c r="AN22" s="1">
        <v>9.2682109799999992</v>
      </c>
      <c r="AO22" s="1">
        <v>-26.023980600000002</v>
      </c>
      <c r="AP22" s="1">
        <v>-51.480639699999998</v>
      </c>
      <c r="AQ22" s="1">
        <v>-0.18401675200000001</v>
      </c>
      <c r="AR22" s="1">
        <v>-20.308263</v>
      </c>
      <c r="AS22" s="1">
        <v>-1.7796009100000001</v>
      </c>
      <c r="AT22" s="1">
        <v>-32.915321599999999</v>
      </c>
      <c r="AU22" s="1">
        <v>-23.584687599999999</v>
      </c>
      <c r="AV22" s="1">
        <v>13.4281062</v>
      </c>
      <c r="AW22" s="1">
        <v>-19.172214799999999</v>
      </c>
      <c r="AX22" s="1">
        <v>-47.320744400000002</v>
      </c>
      <c r="AY22" s="1">
        <v>6.6677490400000003</v>
      </c>
      <c r="AZ22" s="1">
        <v>2.32701052</v>
      </c>
      <c r="BA22" s="1">
        <v>108.777783</v>
      </c>
      <c r="BB22" s="1">
        <v>2.38558468</v>
      </c>
    </row>
    <row r="23" spans="1:54">
      <c r="A23" t="s">
        <v>101</v>
      </c>
      <c r="B23" s="1">
        <v>1077.9269099999999</v>
      </c>
      <c r="C23" s="1">
        <v>1077.0629100000001</v>
      </c>
      <c r="D23" s="1">
        <v>0.86399999999999999</v>
      </c>
      <c r="E23" s="1">
        <v>459.45537400000001</v>
      </c>
      <c r="F23" s="1">
        <v>458.77694700000001</v>
      </c>
      <c r="G23" s="1">
        <v>11.25</v>
      </c>
      <c r="H23" s="1">
        <v>3.8125</v>
      </c>
      <c r="I23" s="1">
        <v>4.4166666699999997</v>
      </c>
      <c r="J23" s="1">
        <v>458.26790999999997</v>
      </c>
      <c r="K23" s="1">
        <v>3.6102783500000002</v>
      </c>
      <c r="L23" s="1">
        <v>124.714544</v>
      </c>
      <c r="M23" s="1">
        <v>417.99902300000002</v>
      </c>
      <c r="N23" s="1">
        <v>4.5166666700000002</v>
      </c>
      <c r="O23" s="1">
        <v>3.6466666700000001</v>
      </c>
      <c r="P23" s="1">
        <v>20.6840625</v>
      </c>
      <c r="Q23" s="1">
        <v>-2.2491086400000002</v>
      </c>
      <c r="R23" s="1">
        <v>-11.4758099</v>
      </c>
      <c r="S23" s="1">
        <v>4.05072878</v>
      </c>
      <c r="T23" s="1">
        <v>76.076666700000004</v>
      </c>
      <c r="U23" s="1">
        <v>4.05072879</v>
      </c>
      <c r="V23" s="1">
        <v>76.076666599999996</v>
      </c>
      <c r="W23" s="1">
        <v>301.23033299999997</v>
      </c>
      <c r="X23" s="1">
        <v>116.387083</v>
      </c>
      <c r="Y23" s="1">
        <v>570.78751999999997</v>
      </c>
      <c r="Z23" s="1">
        <v>5.5717067800000004</v>
      </c>
      <c r="AA23" s="1">
        <v>3.5862756899999999</v>
      </c>
      <c r="AB23" s="1">
        <v>5.7026371600000001</v>
      </c>
      <c r="AC23" s="1">
        <v>4.3836200500000002E-3</v>
      </c>
      <c r="AD23" s="1">
        <v>1.58263716</v>
      </c>
      <c r="AE23" s="1">
        <v>2.2293836200000001</v>
      </c>
      <c r="AF23" s="1">
        <v>4.12</v>
      </c>
      <c r="AG23" s="1">
        <v>-2.2250000000000001</v>
      </c>
      <c r="AH23" s="1">
        <v>6.9243764499999996</v>
      </c>
      <c r="AI23" s="1">
        <v>11.245037099999999</v>
      </c>
      <c r="AJ23" s="1">
        <v>9.4837804699999992</v>
      </c>
      <c r="AK23" s="1">
        <v>9.4965028500000006</v>
      </c>
      <c r="AL23" s="1">
        <v>-42.651206000000002</v>
      </c>
      <c r="AM23" s="1">
        <v>-11.132137200000001</v>
      </c>
      <c r="AN23" s="1">
        <v>40.107883800000003</v>
      </c>
      <c r="AO23" s="1">
        <v>-16.735346400000001</v>
      </c>
      <c r="AP23" s="1">
        <v>-37.396441299999999</v>
      </c>
      <c r="AQ23" s="1">
        <v>-27.208134900000001</v>
      </c>
      <c r="AR23" s="1">
        <v>-42.651206000000002</v>
      </c>
      <c r="AS23" s="1">
        <v>-11.132137200000001</v>
      </c>
      <c r="AT23" s="1">
        <v>-49.176325900000002</v>
      </c>
      <c r="AU23" s="1">
        <v>-34.070423099999999</v>
      </c>
      <c r="AV23" s="1">
        <v>43.694159499999998</v>
      </c>
      <c r="AW23" s="1">
        <v>-11.1636396</v>
      </c>
      <c r="AX23" s="1">
        <v>-33.810165599999998</v>
      </c>
      <c r="AY23" s="1">
        <v>-21.636428200000001</v>
      </c>
      <c r="AZ23" s="1">
        <v>-2.5594040200000001</v>
      </c>
      <c r="BA23" s="1">
        <v>97.775995300000005</v>
      </c>
      <c r="BB23" s="1">
        <v>1.7485342500000001</v>
      </c>
    </row>
    <row r="24" spans="1:54">
      <c r="A24" t="s">
        <v>102</v>
      </c>
      <c r="B24" s="1">
        <v>1077.88068</v>
      </c>
      <c r="C24" s="1">
        <v>1077.84968</v>
      </c>
      <c r="D24" s="1">
        <v>3.1E-2</v>
      </c>
      <c r="E24" s="1">
        <v>460.35695199999998</v>
      </c>
      <c r="F24" s="1">
        <v>460.73838799999999</v>
      </c>
      <c r="G24" s="1">
        <v>11.25</v>
      </c>
      <c r="H24" s="1">
        <v>3.875</v>
      </c>
      <c r="I24" s="1">
        <v>4.43333333</v>
      </c>
      <c r="J24" s="1">
        <v>455.360141</v>
      </c>
      <c r="K24" s="1">
        <v>4.2246749399999999</v>
      </c>
      <c r="L24" s="1">
        <v>118.80279899999999</v>
      </c>
      <c r="M24" s="1">
        <v>414.18960299999998</v>
      </c>
      <c r="N24" s="1">
        <v>4.99</v>
      </c>
      <c r="O24" s="1">
        <v>3.5933333300000001</v>
      </c>
      <c r="P24" s="1">
        <v>16.44125</v>
      </c>
      <c r="Q24" s="1">
        <v>-5.1568771299999998</v>
      </c>
      <c r="R24" s="1">
        <v>-23.020974500000001</v>
      </c>
      <c r="S24" s="1">
        <v>3.8456726799999998</v>
      </c>
      <c r="T24" s="1">
        <v>73.760000000000005</v>
      </c>
      <c r="U24" s="1">
        <v>3.8456727000000002</v>
      </c>
      <c r="V24" s="1">
        <v>73.760000199999993</v>
      </c>
      <c r="W24" s="1">
        <v>303.39766700000001</v>
      </c>
      <c r="X24" s="1">
        <v>117.224481</v>
      </c>
      <c r="Y24" s="1">
        <v>571.50443800000005</v>
      </c>
      <c r="Z24" s="1">
        <v>3.9643086400000001</v>
      </c>
      <c r="AA24" s="1">
        <v>2.8676708500000001</v>
      </c>
      <c r="AB24" s="1">
        <v>-0.18492974200000001</v>
      </c>
      <c r="AC24" s="1">
        <v>0.20451982399999999</v>
      </c>
      <c r="AD24" s="1">
        <v>3.14707026</v>
      </c>
      <c r="AE24" s="1">
        <v>2.4335198199999999</v>
      </c>
      <c r="AF24" s="1">
        <v>-3.3319999999999999</v>
      </c>
      <c r="AG24" s="1">
        <v>-2.2290000000000001</v>
      </c>
      <c r="AH24" s="1">
        <v>3.6063120899999999</v>
      </c>
      <c r="AI24" s="1">
        <v>8.3334637699999998</v>
      </c>
      <c r="AJ24" s="1">
        <v>7.8457660499999999</v>
      </c>
      <c r="AK24" s="1">
        <v>8.3595751499999995</v>
      </c>
      <c r="AL24" s="1">
        <v>-11.631074</v>
      </c>
      <c r="AM24" s="1">
        <v>-14.6550624</v>
      </c>
      <c r="AN24" s="1">
        <v>-23.6469798</v>
      </c>
      <c r="AO24" s="1">
        <v>-15.6210805</v>
      </c>
      <c r="AP24" s="1">
        <v>-15.2376807</v>
      </c>
      <c r="AQ24" s="1">
        <v>-42.763293599999997</v>
      </c>
      <c r="AR24" s="1">
        <v>-11.631074</v>
      </c>
      <c r="AS24" s="1">
        <v>-14.6550624</v>
      </c>
      <c r="AT24" s="1">
        <v>-46.180658399999999</v>
      </c>
      <c r="AU24" s="1">
        <v>-46.064330599999998</v>
      </c>
      <c r="AV24" s="1">
        <v>-20.7793089</v>
      </c>
      <c r="AW24" s="1">
        <v>-11.6567718</v>
      </c>
      <c r="AX24" s="1">
        <v>-12.3700098</v>
      </c>
      <c r="AY24" s="1">
        <v>-38.798985000000002</v>
      </c>
      <c r="AZ24" s="1">
        <v>-4.2394539599999996</v>
      </c>
      <c r="BA24" s="1">
        <v>94.973832900000005</v>
      </c>
      <c r="BB24" s="1">
        <v>-2.611138E-2</v>
      </c>
    </row>
    <row r="25" spans="1:54">
      <c r="A25" t="s">
        <v>103</v>
      </c>
      <c r="B25" s="1">
        <v>1078.2972400000001</v>
      </c>
      <c r="C25" s="1">
        <v>1078.4502399999999</v>
      </c>
      <c r="D25" s="1">
        <v>-0.153</v>
      </c>
      <c r="E25" s="1">
        <v>460.58503000000002</v>
      </c>
      <c r="F25" s="1">
        <v>461.11285400000003</v>
      </c>
      <c r="G25" s="1">
        <v>10.3566667</v>
      </c>
      <c r="H25" s="1">
        <v>3.9375</v>
      </c>
      <c r="I25" s="1">
        <v>4.2466666699999998</v>
      </c>
      <c r="J25" s="1">
        <v>459.73593899999997</v>
      </c>
      <c r="K25" s="1">
        <v>3.2747044700000001</v>
      </c>
      <c r="L25" s="1">
        <v>116.500404</v>
      </c>
      <c r="M25" s="1">
        <v>424.29052799999999</v>
      </c>
      <c r="N25" s="1">
        <v>5.26</v>
      </c>
      <c r="O25" s="1">
        <v>4.1500000000000004</v>
      </c>
      <c r="P25" s="1">
        <v>15.013230800000001</v>
      </c>
      <c r="Q25" s="1">
        <v>-0.78107981999999998</v>
      </c>
      <c r="R25" s="1">
        <v>-12.6975777</v>
      </c>
      <c r="S25" s="1">
        <v>3.7902401000000001</v>
      </c>
      <c r="T25" s="1">
        <v>82.296666700000003</v>
      </c>
      <c r="U25" s="1">
        <v>3.7902401100000001</v>
      </c>
      <c r="V25" s="1">
        <v>82.296667299999996</v>
      </c>
      <c r="W25" s="1">
        <v>305.98899999999998</v>
      </c>
      <c r="X25" s="1">
        <v>118.225701</v>
      </c>
      <c r="Y25" s="1">
        <v>572.35491500000001</v>
      </c>
      <c r="Z25" s="1">
        <v>3.50393819</v>
      </c>
      <c r="AA25" s="1">
        <v>3.4019109300000001</v>
      </c>
      <c r="AB25" s="1">
        <v>1.6662683300000001</v>
      </c>
      <c r="AC25" s="1">
        <v>0.42243542299999998</v>
      </c>
      <c r="AD25" s="1">
        <v>2.4022683300000001</v>
      </c>
      <c r="AE25" s="1">
        <v>2.3944354200000002</v>
      </c>
      <c r="AF25" s="1">
        <v>-0.73599999999999999</v>
      </c>
      <c r="AG25" s="1">
        <v>-1.972</v>
      </c>
      <c r="AH25" s="1">
        <v>0.91231251300000005</v>
      </c>
      <c r="AI25" s="1">
        <v>5.0908482199999998</v>
      </c>
      <c r="AJ25" s="1">
        <v>1.49786101</v>
      </c>
      <c r="AK25" s="1">
        <v>6.35519721</v>
      </c>
      <c r="AL25" s="1">
        <v>17.503189200000001</v>
      </c>
      <c r="AM25" s="1">
        <v>-14.2718384</v>
      </c>
      <c r="AN25" s="1">
        <v>-9.2095785299999999</v>
      </c>
      <c r="AO25" s="1">
        <v>4.1298841099999999</v>
      </c>
      <c r="AP25" s="1">
        <v>40.403699199999998</v>
      </c>
      <c r="AQ25" s="1">
        <v>-15.927765600000001</v>
      </c>
      <c r="AR25" s="1">
        <v>17.503189200000001</v>
      </c>
      <c r="AS25" s="1">
        <v>-14.2718384</v>
      </c>
      <c r="AT25" s="1">
        <v>41.293587100000003</v>
      </c>
      <c r="AU25" s="1">
        <v>-21.744679699999999</v>
      </c>
      <c r="AV25" s="1">
        <v>-5.8076676000000003</v>
      </c>
      <c r="AW25" s="1">
        <v>7.6338223000000003</v>
      </c>
      <c r="AX25" s="1">
        <v>43.805610199999997</v>
      </c>
      <c r="AY25" s="1">
        <v>-12.4238274</v>
      </c>
      <c r="AZ25" s="1">
        <v>-0.585548497</v>
      </c>
      <c r="BA25" s="1">
        <v>99.221962899999994</v>
      </c>
      <c r="BB25" s="1">
        <v>-1.26434899</v>
      </c>
    </row>
    <row r="26" spans="1:54">
      <c r="A26" t="s">
        <v>104</v>
      </c>
      <c r="B26" s="1">
        <v>1078.95526</v>
      </c>
      <c r="C26" s="1">
        <v>1079.1612600000001</v>
      </c>
      <c r="D26" s="1">
        <v>-0.20599999999999999</v>
      </c>
      <c r="E26" s="1">
        <v>461.65839599999998</v>
      </c>
      <c r="F26" s="1">
        <v>461.41790600000002</v>
      </c>
      <c r="G26" s="1">
        <v>9.0566666700000003</v>
      </c>
      <c r="H26" s="1">
        <v>4</v>
      </c>
      <c r="I26" s="1">
        <v>5.2533333300000002</v>
      </c>
      <c r="J26" s="1">
        <v>463.36481600000002</v>
      </c>
      <c r="K26" s="1">
        <v>3.4598822600000001</v>
      </c>
      <c r="L26" s="1">
        <v>113.522092</v>
      </c>
      <c r="M26" s="1">
        <v>418.73425900000001</v>
      </c>
      <c r="N26" s="1">
        <v>5.33</v>
      </c>
      <c r="O26" s="1">
        <v>4.4400000000000004</v>
      </c>
      <c r="P26" s="1">
        <v>15.286250000000001</v>
      </c>
      <c r="Q26" s="1">
        <v>2.8477973799999998</v>
      </c>
      <c r="R26" s="1">
        <v>-11.850566000000001</v>
      </c>
      <c r="S26" s="1">
        <v>3.7055429599999998</v>
      </c>
      <c r="T26" s="1">
        <v>78.41</v>
      </c>
      <c r="U26" s="1">
        <v>3.7055429499999999</v>
      </c>
      <c r="V26" s="1">
        <v>78.409999499999998</v>
      </c>
      <c r="W26" s="1">
        <v>308.19499999999999</v>
      </c>
      <c r="X26" s="1">
        <v>119.07803800000001</v>
      </c>
      <c r="Y26" s="1">
        <v>573.07326999999998</v>
      </c>
      <c r="Z26" s="1">
        <v>3.1823189599999999</v>
      </c>
      <c r="AA26" s="1">
        <v>2.87341837</v>
      </c>
      <c r="AB26" s="1">
        <v>2.6320529499999998</v>
      </c>
      <c r="AC26" s="1">
        <v>2.4540071700000001</v>
      </c>
      <c r="AD26" s="1">
        <v>2.84405295</v>
      </c>
      <c r="AE26" s="1">
        <v>2.4940071700000002</v>
      </c>
      <c r="AF26" s="1">
        <v>-0.21199999999999999</v>
      </c>
      <c r="AG26" s="1">
        <v>-0.04</v>
      </c>
      <c r="AH26" s="1">
        <v>4.2934611599999997</v>
      </c>
      <c r="AI26" s="1">
        <v>3.93411555</v>
      </c>
      <c r="AJ26" s="1">
        <v>1.2202075800000001</v>
      </c>
      <c r="AK26" s="1">
        <v>5.0119037799999999</v>
      </c>
      <c r="AL26" s="1">
        <v>14.515508799999999</v>
      </c>
      <c r="AM26" s="1">
        <v>-5.5658954899999999</v>
      </c>
      <c r="AN26" s="1">
        <v>-11.913248100000001</v>
      </c>
      <c r="AO26" s="1">
        <v>-1.1654806600000001</v>
      </c>
      <c r="AP26" s="1">
        <v>-22.225072099999998</v>
      </c>
      <c r="AQ26" s="1">
        <v>-8.6138737200000008</v>
      </c>
      <c r="AR26" s="1">
        <v>14.515508799999999</v>
      </c>
      <c r="AS26" s="1">
        <v>-5.5658954899999999</v>
      </c>
      <c r="AT26" s="1">
        <v>3.3880466999999999</v>
      </c>
      <c r="AU26" s="1">
        <v>-12.6688376</v>
      </c>
      <c r="AV26" s="1">
        <v>-9.0398297299999992</v>
      </c>
      <c r="AW26" s="1">
        <v>2.0168382999999999</v>
      </c>
      <c r="AX26" s="1">
        <v>-19.351653800000001</v>
      </c>
      <c r="AY26" s="1">
        <v>-5.43155476</v>
      </c>
      <c r="AZ26" s="1">
        <v>3.0732535799999998</v>
      </c>
      <c r="BA26" s="1">
        <v>102.888735</v>
      </c>
      <c r="BB26" s="1">
        <v>-1.0777882299999999</v>
      </c>
    </row>
    <row r="27" spans="1:54">
      <c r="A27" t="s">
        <v>105</v>
      </c>
      <c r="B27" s="1">
        <v>1080.1612500000001</v>
      </c>
      <c r="C27" s="1">
        <v>1079.82025</v>
      </c>
      <c r="D27" s="1">
        <v>0.34100000000000003</v>
      </c>
      <c r="E27" s="1">
        <v>462.73761000000002</v>
      </c>
      <c r="F27" s="1">
        <v>462.73970600000001</v>
      </c>
      <c r="G27" s="1">
        <v>7.5833333300000003</v>
      </c>
      <c r="H27" s="1">
        <v>4</v>
      </c>
      <c r="I27" s="1">
        <v>5.0033333300000002</v>
      </c>
      <c r="J27" s="1">
        <v>467.75863399999997</v>
      </c>
      <c r="K27" s="1">
        <v>3.2641211800000001</v>
      </c>
      <c r="L27" s="1">
        <v>115.917773</v>
      </c>
      <c r="M27" s="1">
        <v>416.73720200000002</v>
      </c>
      <c r="N27" s="1">
        <v>5.33</v>
      </c>
      <c r="O27" s="1">
        <v>4.16</v>
      </c>
      <c r="P27" s="1">
        <v>13.712539700000001</v>
      </c>
      <c r="Q27" s="1">
        <v>7.2416155099999999</v>
      </c>
      <c r="R27" s="1">
        <v>-9.7108615799999995</v>
      </c>
      <c r="S27" s="1">
        <v>3.8299721799999999</v>
      </c>
      <c r="T27" s="1">
        <v>77.56</v>
      </c>
      <c r="U27" s="1">
        <v>3.8299721799999999</v>
      </c>
      <c r="V27" s="1">
        <v>77.559999899999994</v>
      </c>
      <c r="W27" s="1">
        <v>311.003333</v>
      </c>
      <c r="X27" s="1">
        <v>120.163101</v>
      </c>
      <c r="Y27" s="1">
        <v>573.98036300000001</v>
      </c>
      <c r="Z27" s="1">
        <v>3.1928431100000001</v>
      </c>
      <c r="AA27" s="1">
        <v>3.6283722900000002</v>
      </c>
      <c r="AB27" s="1">
        <v>4.8239744599999996</v>
      </c>
      <c r="AC27" s="1">
        <v>2.2343415000000002</v>
      </c>
      <c r="AD27" s="1">
        <v>2.6359744599999999</v>
      </c>
      <c r="AE27" s="1">
        <v>2.7573414999999999</v>
      </c>
      <c r="AF27" s="1">
        <v>2.1880000000000002</v>
      </c>
      <c r="AG27" s="1">
        <v>-0.52300000000000002</v>
      </c>
      <c r="AH27" s="1">
        <v>4.3168574</v>
      </c>
      <c r="AI27" s="1">
        <v>3.2822357900000001</v>
      </c>
      <c r="AJ27" s="1">
        <v>5.2871996499999998</v>
      </c>
      <c r="AK27" s="1">
        <v>3.9627585700000001</v>
      </c>
      <c r="AL27" s="1">
        <v>17.575272500000001</v>
      </c>
      <c r="AM27" s="1">
        <v>9.4907241500000001</v>
      </c>
      <c r="AN27" s="1">
        <v>9.5827255400000002</v>
      </c>
      <c r="AO27" s="1">
        <v>-8.7967702200000009</v>
      </c>
      <c r="AP27" s="1">
        <v>-7.9882282299999998</v>
      </c>
      <c r="AQ27" s="1">
        <v>-1.2618204500000001</v>
      </c>
      <c r="AR27" s="1">
        <v>17.575272500000001</v>
      </c>
      <c r="AS27" s="1">
        <v>9.4907241500000001</v>
      </c>
      <c r="AT27" s="1">
        <v>8.5588177900000009</v>
      </c>
      <c r="AU27" s="1">
        <v>1.7649482999999999</v>
      </c>
      <c r="AV27" s="1">
        <v>13.211097799999999</v>
      </c>
      <c r="AW27" s="1">
        <v>-5.6039271099999999</v>
      </c>
      <c r="AX27" s="1">
        <v>-4.35985595</v>
      </c>
      <c r="AY27" s="1">
        <v>1.93102266</v>
      </c>
      <c r="AZ27" s="1">
        <v>-0.97034225200000002</v>
      </c>
      <c r="BA27" s="1">
        <v>107.510266</v>
      </c>
      <c r="BB27" s="1">
        <v>-0.68052277999999999</v>
      </c>
    </row>
    <row r="28" spans="1:54">
      <c r="A28" t="s">
        <v>106</v>
      </c>
      <c r="B28" s="1">
        <v>1079.5705</v>
      </c>
      <c r="C28" s="1">
        <v>1080.4794999999999</v>
      </c>
      <c r="D28" s="1">
        <v>-0.90900000000000003</v>
      </c>
      <c r="E28" s="1">
        <v>463.85552899999999</v>
      </c>
      <c r="F28" s="1">
        <v>464.07707399999998</v>
      </c>
      <c r="G28" s="1">
        <v>6.28</v>
      </c>
      <c r="H28" s="1">
        <v>4</v>
      </c>
      <c r="I28" s="1">
        <v>4.9233333300000002</v>
      </c>
      <c r="J28" s="1">
        <v>465.42429499999997</v>
      </c>
      <c r="K28" s="1">
        <v>3.2854258199999999</v>
      </c>
      <c r="L28" s="1">
        <v>129.649012</v>
      </c>
      <c r="M28" s="1">
        <v>421.28801299999998</v>
      </c>
      <c r="N28" s="1">
        <v>5.33</v>
      </c>
      <c r="O28" s="1">
        <v>4.4433333299999997</v>
      </c>
      <c r="P28" s="1">
        <v>13.980307699999999</v>
      </c>
      <c r="Q28" s="1">
        <v>4.9072760400000002</v>
      </c>
      <c r="R28" s="1">
        <v>-4.1084185</v>
      </c>
      <c r="S28" s="1">
        <v>4.4230397000000004</v>
      </c>
      <c r="T28" s="1">
        <v>81.713333300000002</v>
      </c>
      <c r="U28" s="1">
        <v>4.4230397000000004</v>
      </c>
      <c r="V28" s="1">
        <v>81.713333199999994</v>
      </c>
      <c r="W28" s="1">
        <v>313.08066700000001</v>
      </c>
      <c r="X28" s="1">
        <v>120.96572500000001</v>
      </c>
      <c r="Y28" s="1">
        <v>574.64608799999996</v>
      </c>
      <c r="Z28" s="1">
        <v>3.1416501999999999</v>
      </c>
      <c r="AA28" s="1">
        <v>2.6628992299999998</v>
      </c>
      <c r="AB28" s="1">
        <v>-2.3630049400000002</v>
      </c>
      <c r="AC28" s="1">
        <v>1.6898226999999999</v>
      </c>
      <c r="AD28" s="1">
        <v>2.6369950599999998</v>
      </c>
      <c r="AE28" s="1">
        <v>2.6298227000000001</v>
      </c>
      <c r="AF28" s="1">
        <v>-5</v>
      </c>
      <c r="AG28" s="1">
        <v>-0.94</v>
      </c>
      <c r="AH28" s="1">
        <v>4.4716748900000001</v>
      </c>
      <c r="AI28" s="1">
        <v>3.49857649</v>
      </c>
      <c r="AJ28" s="1">
        <v>5.3494749199999996</v>
      </c>
      <c r="AK28" s="1">
        <v>3.33868579</v>
      </c>
      <c r="AL28" s="1">
        <v>-9.3373578800000008</v>
      </c>
      <c r="AM28" s="1">
        <v>10.0641532</v>
      </c>
      <c r="AN28" s="1">
        <v>54.924955400000002</v>
      </c>
      <c r="AO28" s="1">
        <v>10.8462136</v>
      </c>
      <c r="AP28" s="1">
        <v>18.203243499999999</v>
      </c>
      <c r="AQ28" s="1">
        <v>7.0984105900000003</v>
      </c>
      <c r="AR28" s="1">
        <v>-9.3373578800000008</v>
      </c>
      <c r="AS28" s="1">
        <v>10.0641532</v>
      </c>
      <c r="AT28" s="1">
        <v>22.4097723</v>
      </c>
      <c r="AU28" s="1">
        <v>18.912555999999999</v>
      </c>
      <c r="AV28" s="1">
        <v>57.5878546</v>
      </c>
      <c r="AW28" s="1">
        <v>13.9878638</v>
      </c>
      <c r="AX28" s="1">
        <v>20.866142700000001</v>
      </c>
      <c r="AY28" s="1">
        <v>10.2400608</v>
      </c>
      <c r="AZ28" s="1">
        <v>-0.87780003399999995</v>
      </c>
      <c r="BA28" s="1">
        <v>105.02967700000001</v>
      </c>
      <c r="BB28" s="1">
        <v>0.1598907</v>
      </c>
    </row>
    <row r="29" spans="1:54">
      <c r="A29" t="s">
        <v>107</v>
      </c>
      <c r="B29" s="1">
        <v>1080.69506</v>
      </c>
      <c r="C29" s="1">
        <v>1081.1400599999999</v>
      </c>
      <c r="D29" s="1">
        <v>-0.44500000000000001</v>
      </c>
      <c r="E29" s="1">
        <v>464.81680999999998</v>
      </c>
      <c r="F29" s="1">
        <v>464.68050599999998</v>
      </c>
      <c r="G29" s="1">
        <v>5.6766666700000004</v>
      </c>
      <c r="H29" s="1">
        <v>4</v>
      </c>
      <c r="I29" s="1">
        <v>4.4000000000000004</v>
      </c>
      <c r="J29" s="1">
        <v>464.95288499999998</v>
      </c>
      <c r="K29" s="1">
        <v>3.4685533300000002</v>
      </c>
      <c r="L29" s="1">
        <v>123.542968</v>
      </c>
      <c r="M29" s="1">
        <v>414.02318200000002</v>
      </c>
      <c r="N29" s="1">
        <v>5.26333333</v>
      </c>
      <c r="O29" s="1">
        <v>3.9466666699999999</v>
      </c>
      <c r="P29" s="1">
        <v>17.066666699999999</v>
      </c>
      <c r="Q29" s="1">
        <v>4.4358659100000004</v>
      </c>
      <c r="R29" s="1">
        <v>-0.187320604</v>
      </c>
      <c r="S29" s="1">
        <v>4.1748737499999997</v>
      </c>
      <c r="T29" s="1">
        <v>76.239999999999995</v>
      </c>
      <c r="U29" s="1">
        <v>4.1748737499999997</v>
      </c>
      <c r="V29" s="1">
        <v>76.239999900000001</v>
      </c>
      <c r="W29" s="1">
        <v>314.12099999999998</v>
      </c>
      <c r="X29" s="1">
        <v>121.367681</v>
      </c>
      <c r="Y29" s="1">
        <v>574.97782600000005</v>
      </c>
      <c r="Z29" s="1">
        <v>2.6229108399999999</v>
      </c>
      <c r="AA29" s="1">
        <v>1.3269534700000001</v>
      </c>
      <c r="AB29" s="1">
        <v>4.4982590900000003</v>
      </c>
      <c r="AC29" s="1">
        <v>2.3978203900000001</v>
      </c>
      <c r="AD29" s="1">
        <v>2.64225909</v>
      </c>
      <c r="AE29" s="1">
        <v>2.6898203899999999</v>
      </c>
      <c r="AF29" s="1">
        <v>1.8560000000000001</v>
      </c>
      <c r="AG29" s="1">
        <v>-0.29199999999999998</v>
      </c>
      <c r="AH29" s="1">
        <v>3.8451247099999999</v>
      </c>
      <c r="AI29" s="1">
        <v>4.2317795399999998</v>
      </c>
      <c r="AJ29" s="1">
        <v>2.41372689</v>
      </c>
      <c r="AK29" s="1">
        <v>3.56765226</v>
      </c>
      <c r="AL29" s="1">
        <v>-1.8856405300000001</v>
      </c>
      <c r="AM29" s="1">
        <v>5.2169457299999999</v>
      </c>
      <c r="AN29" s="1">
        <v>-24.424176599999999</v>
      </c>
      <c r="AO29" s="1">
        <v>7.0425640600000001</v>
      </c>
      <c r="AP29" s="1">
        <v>-29.0593246</v>
      </c>
      <c r="AQ29" s="1">
        <v>-10.2673454</v>
      </c>
      <c r="AR29" s="1">
        <v>-1.8856405300000001</v>
      </c>
      <c r="AS29" s="1">
        <v>5.2169457299999999</v>
      </c>
      <c r="AT29" s="1">
        <v>15.6843916</v>
      </c>
      <c r="AU29" s="1">
        <v>12.5102571</v>
      </c>
      <c r="AV29" s="1">
        <v>-23.097223100000001</v>
      </c>
      <c r="AW29" s="1">
        <v>9.6654748999999995</v>
      </c>
      <c r="AX29" s="1">
        <v>-27.732371199999999</v>
      </c>
      <c r="AY29" s="1">
        <v>-7.6444345299999998</v>
      </c>
      <c r="AZ29" s="1">
        <v>1.4313978199999999</v>
      </c>
      <c r="BA29" s="1">
        <v>104.53572200000001</v>
      </c>
      <c r="BB29" s="1">
        <v>0.66412727999999999</v>
      </c>
    </row>
    <row r="30" spans="1:54">
      <c r="A30" t="s">
        <v>108</v>
      </c>
      <c r="B30" s="1">
        <v>1081.6047000000001</v>
      </c>
      <c r="C30" s="1">
        <v>1081.7456999999999</v>
      </c>
      <c r="D30" s="1">
        <v>-0.14099999999999999</v>
      </c>
      <c r="E30" s="1">
        <v>466.03064799999999</v>
      </c>
      <c r="F30" s="1">
        <v>465.53481699999998</v>
      </c>
      <c r="G30" s="1">
        <v>5.2666666700000002</v>
      </c>
      <c r="H30" s="1">
        <v>4</v>
      </c>
      <c r="I30" s="1">
        <v>4.32</v>
      </c>
      <c r="J30" s="1">
        <v>466.209001</v>
      </c>
      <c r="K30" s="1">
        <v>3.6025896799999999</v>
      </c>
      <c r="L30" s="1">
        <v>122.476181</v>
      </c>
      <c r="M30" s="1">
        <v>405.67806000000002</v>
      </c>
      <c r="N30" s="1">
        <v>4.6500000000000004</v>
      </c>
      <c r="O30" s="1">
        <v>4.2833333299999996</v>
      </c>
      <c r="P30" s="1">
        <v>17.3632308</v>
      </c>
      <c r="Q30" s="1">
        <v>5.6919822299999998</v>
      </c>
      <c r="R30" s="1">
        <v>5.7867414799999999</v>
      </c>
      <c r="S30" s="1">
        <v>4.1630092000000003</v>
      </c>
      <c r="T30" s="1">
        <v>70.686666700000004</v>
      </c>
      <c r="U30" s="1">
        <v>4.1630092000000003</v>
      </c>
      <c r="V30" s="1">
        <v>70.686666900000006</v>
      </c>
      <c r="W30" s="1">
        <v>316.58766700000001</v>
      </c>
      <c r="X30" s="1">
        <v>122.320733</v>
      </c>
      <c r="Y30" s="1">
        <v>575.76001900000006</v>
      </c>
      <c r="Z30" s="1">
        <v>2.6867491600000002</v>
      </c>
      <c r="AA30" s="1">
        <v>3.12877165</v>
      </c>
      <c r="AB30" s="1">
        <v>3.6385426399999998</v>
      </c>
      <c r="AC30" s="1">
        <v>2.64944281</v>
      </c>
      <c r="AD30" s="1">
        <v>2.4225426400000001</v>
      </c>
      <c r="AE30" s="1">
        <v>2.5844428100000001</v>
      </c>
      <c r="AF30" s="1">
        <v>1.216</v>
      </c>
      <c r="AG30" s="1">
        <v>6.5000000000000002E-2</v>
      </c>
      <c r="AH30" s="1">
        <v>4.85535184</v>
      </c>
      <c r="AI30" s="1">
        <v>4.3722522100000001</v>
      </c>
      <c r="AJ30" s="1">
        <v>3.4172439699999999</v>
      </c>
      <c r="AK30" s="1">
        <v>4.1169113599999996</v>
      </c>
      <c r="AL30" s="1">
        <v>5.0244652700000003</v>
      </c>
      <c r="AM30" s="1">
        <v>2.84418485</v>
      </c>
      <c r="AN30" s="1">
        <v>-4.2671479999999997</v>
      </c>
      <c r="AO30" s="1">
        <v>8.9540890799999993</v>
      </c>
      <c r="AP30" s="1">
        <v>-33.380489500000003</v>
      </c>
      <c r="AQ30" s="1">
        <v>-13.056199700000001</v>
      </c>
      <c r="AR30" s="1">
        <v>5.0244652700000003</v>
      </c>
      <c r="AS30" s="1">
        <v>2.84418485</v>
      </c>
      <c r="AT30" s="1">
        <v>23.8962483</v>
      </c>
      <c r="AU30" s="1">
        <v>17.637307499999999</v>
      </c>
      <c r="AV30" s="1">
        <v>-1.1383763600000001</v>
      </c>
      <c r="AW30" s="1">
        <v>11.640838199999999</v>
      </c>
      <c r="AX30" s="1">
        <v>-30.251717800000002</v>
      </c>
      <c r="AY30" s="1">
        <v>-10.369450499999999</v>
      </c>
      <c r="AZ30" s="1">
        <v>1.43810788</v>
      </c>
      <c r="BA30" s="1">
        <v>105.857094</v>
      </c>
      <c r="BB30" s="1">
        <v>0.25534085000000001</v>
      </c>
    </row>
    <row r="31" spans="1:54">
      <c r="A31" t="s">
        <v>109</v>
      </c>
      <c r="B31" s="1">
        <v>1083.1797099999999</v>
      </c>
      <c r="C31" s="1">
        <v>1082.4897100000001</v>
      </c>
      <c r="D31" s="1">
        <v>0.69</v>
      </c>
      <c r="E31" s="1">
        <v>467.47248300000001</v>
      </c>
      <c r="F31" s="1">
        <v>466.57356099999998</v>
      </c>
      <c r="G31" s="1">
        <v>5</v>
      </c>
      <c r="H31" s="1">
        <v>4</v>
      </c>
      <c r="I31" s="1">
        <v>4.24</v>
      </c>
      <c r="J31" s="1">
        <v>465.03416299999998</v>
      </c>
      <c r="K31" s="1">
        <v>3.4881000000000002</v>
      </c>
      <c r="L31" s="1">
        <v>123.383416</v>
      </c>
      <c r="M31" s="1">
        <v>406.383982</v>
      </c>
      <c r="N31" s="1">
        <v>4.33</v>
      </c>
      <c r="O31" s="1">
        <v>4.4533333300000004</v>
      </c>
      <c r="P31" s="1">
        <v>18.521111099999999</v>
      </c>
      <c r="Q31" s="1">
        <v>4.5171444599999999</v>
      </c>
      <c r="R31" s="1">
        <v>6.66801026</v>
      </c>
      <c r="S31" s="1">
        <v>4.2392627000000003</v>
      </c>
      <c r="T31" s="1">
        <v>71.836666699999995</v>
      </c>
      <c r="U31" s="1">
        <v>4.2392627000000003</v>
      </c>
      <c r="V31" s="1">
        <v>71.836666500000007</v>
      </c>
      <c r="W31" s="1">
        <v>319.47500000000002</v>
      </c>
      <c r="X31" s="1">
        <v>123.436319</v>
      </c>
      <c r="Y31" s="1">
        <v>576.66790200000003</v>
      </c>
      <c r="Z31" s="1">
        <v>2.6875393299999999</v>
      </c>
      <c r="AA31" s="1">
        <v>3.63153295</v>
      </c>
      <c r="AB31" s="1">
        <v>6.3000233400000001</v>
      </c>
      <c r="AC31" s="1">
        <v>3.0184550300000001</v>
      </c>
      <c r="AD31" s="1">
        <v>2.9760233399999998</v>
      </c>
      <c r="AE31" s="1">
        <v>2.66945503</v>
      </c>
      <c r="AF31" s="1">
        <v>3.3239999999999998</v>
      </c>
      <c r="AG31" s="1">
        <v>0.34899999999999998</v>
      </c>
      <c r="AH31" s="1">
        <v>5.7673418700000001</v>
      </c>
      <c r="AI31" s="1">
        <v>4.7348733300000001</v>
      </c>
      <c r="AJ31" s="1">
        <v>4.1549766100000003</v>
      </c>
      <c r="AK31" s="1">
        <v>3.8338556000000001</v>
      </c>
      <c r="AL31" s="1">
        <v>-4.6993510900000004</v>
      </c>
      <c r="AM31" s="1">
        <v>-2.7244710599999999</v>
      </c>
      <c r="AN31" s="1">
        <v>3.6289412200000002</v>
      </c>
      <c r="AO31" s="1">
        <v>7.465643</v>
      </c>
      <c r="AP31" s="1">
        <v>2.82369052</v>
      </c>
      <c r="AQ31" s="1">
        <v>-10.35322</v>
      </c>
      <c r="AR31" s="1">
        <v>-4.6993510900000004</v>
      </c>
      <c r="AS31" s="1">
        <v>-2.7244710599999999</v>
      </c>
      <c r="AT31" s="1">
        <v>3.52507511</v>
      </c>
      <c r="AU31" s="1">
        <v>16.378871799999999</v>
      </c>
      <c r="AV31" s="1">
        <v>7.2604741700000002</v>
      </c>
      <c r="AW31" s="1">
        <v>10.153182299999999</v>
      </c>
      <c r="AX31" s="1">
        <v>6.45522347</v>
      </c>
      <c r="AY31" s="1">
        <v>-7.6656806900000003</v>
      </c>
      <c r="AZ31" s="1">
        <v>1.61236526</v>
      </c>
      <c r="BA31" s="1">
        <v>104.620721</v>
      </c>
      <c r="BB31" s="1">
        <v>0.90101772999999996</v>
      </c>
    </row>
    <row r="32" spans="1:54">
      <c r="A32" t="s">
        <v>110</v>
      </c>
      <c r="B32" s="1">
        <v>1083.07997</v>
      </c>
      <c r="C32" s="1">
        <v>1083.1519699999999</v>
      </c>
      <c r="D32" s="1">
        <v>-7.1999999999999995E-2</v>
      </c>
      <c r="E32" s="1">
        <v>468.12315999999998</v>
      </c>
      <c r="F32" s="1">
        <v>467.64453800000001</v>
      </c>
      <c r="G32" s="1">
        <v>5</v>
      </c>
      <c r="H32" s="1">
        <v>4</v>
      </c>
      <c r="I32" s="1">
        <v>4.18333333</v>
      </c>
      <c r="J32" s="1">
        <v>464.39922200000001</v>
      </c>
      <c r="K32" s="1">
        <v>3.274572</v>
      </c>
      <c r="L32" s="1">
        <v>124.8038</v>
      </c>
      <c r="M32" s="1">
        <v>395.39777500000002</v>
      </c>
      <c r="N32" s="1">
        <v>4.33</v>
      </c>
      <c r="O32" s="1">
        <v>4.3600000000000003</v>
      </c>
      <c r="P32" s="1">
        <v>23.561406300000002</v>
      </c>
      <c r="Q32" s="1">
        <v>3.8822029900000001</v>
      </c>
      <c r="R32" s="1">
        <v>6.0774897899999996</v>
      </c>
      <c r="S32" s="1">
        <v>4.3175467899999997</v>
      </c>
      <c r="T32" s="1">
        <v>64.626666700000001</v>
      </c>
      <c r="U32" s="1">
        <v>4.3175467999999997</v>
      </c>
      <c r="V32" s="1">
        <v>64.626666499999999</v>
      </c>
      <c r="W32" s="1">
        <v>320.78566699999999</v>
      </c>
      <c r="X32" s="1">
        <v>123.942724</v>
      </c>
      <c r="Y32" s="1">
        <v>577.07731999999999</v>
      </c>
      <c r="Z32" s="1">
        <v>2.4312316699999998</v>
      </c>
      <c r="AA32" s="1">
        <v>1.63766861</v>
      </c>
      <c r="AB32" s="1">
        <v>-0.39893842200000001</v>
      </c>
      <c r="AC32" s="1">
        <v>3.50947166</v>
      </c>
      <c r="AD32" s="1">
        <v>2.6490615800000001</v>
      </c>
      <c r="AE32" s="1">
        <v>2.6724716599999998</v>
      </c>
      <c r="AF32" s="1">
        <v>-3.048</v>
      </c>
      <c r="AG32" s="1">
        <v>0.83699999999999997</v>
      </c>
      <c r="AH32" s="1">
        <v>2.60270665</v>
      </c>
      <c r="AI32" s="1">
        <v>4.2676312699999999</v>
      </c>
      <c r="AJ32" s="1">
        <v>4.2839060900000003</v>
      </c>
      <c r="AK32" s="1">
        <v>3.5674633899999999</v>
      </c>
      <c r="AL32" s="1">
        <v>-2.5397658600000002</v>
      </c>
      <c r="AM32" s="1">
        <v>-1.02507305</v>
      </c>
      <c r="AN32" s="1">
        <v>5.6815334899999996</v>
      </c>
      <c r="AO32" s="1">
        <v>-4.8452124599999999</v>
      </c>
      <c r="AP32" s="1">
        <v>-43.9448291</v>
      </c>
      <c r="AQ32" s="1">
        <v>-25.890238199999999</v>
      </c>
      <c r="AR32" s="1">
        <v>-2.5397658600000002</v>
      </c>
      <c r="AS32" s="1">
        <v>-1.02507305</v>
      </c>
      <c r="AT32" s="1">
        <v>-2.36208186</v>
      </c>
      <c r="AU32" s="1">
        <v>10.185908299999999</v>
      </c>
      <c r="AV32" s="1">
        <v>7.3192021</v>
      </c>
      <c r="AW32" s="1">
        <v>-2.4139807900000001</v>
      </c>
      <c r="AX32" s="1">
        <v>-42.307160500000002</v>
      </c>
      <c r="AY32" s="1">
        <v>-23.459006500000001</v>
      </c>
      <c r="AZ32" s="1">
        <v>-1.6811994400000001</v>
      </c>
      <c r="BA32" s="1">
        <v>103.958546</v>
      </c>
      <c r="BB32" s="1">
        <v>0.70016787999999996</v>
      </c>
    </row>
    <row r="33" spans="1:54">
      <c r="A33" t="s">
        <v>111</v>
      </c>
      <c r="B33" s="1">
        <v>1083.57258</v>
      </c>
      <c r="C33" s="1">
        <v>1083.8375799999999</v>
      </c>
      <c r="D33" s="1">
        <v>-0.26500000000000001</v>
      </c>
      <c r="E33" s="1">
        <v>468.95964300000003</v>
      </c>
      <c r="F33" s="1">
        <v>468.54092100000003</v>
      </c>
      <c r="G33" s="1">
        <v>4.8266666699999998</v>
      </c>
      <c r="H33" s="1">
        <v>4</v>
      </c>
      <c r="I33" s="1">
        <v>4.28</v>
      </c>
      <c r="J33" s="1">
        <v>466.12302</v>
      </c>
      <c r="K33" s="1">
        <v>2.9801540000000002</v>
      </c>
      <c r="L33" s="1">
        <v>126.878201</v>
      </c>
      <c r="M33" s="1">
        <v>396.34010699999999</v>
      </c>
      <c r="N33" s="1">
        <v>4.2933333300000003</v>
      </c>
      <c r="O33" s="1">
        <v>4.2566666700000004</v>
      </c>
      <c r="P33" s="1">
        <v>15.983030299999999</v>
      </c>
      <c r="Q33" s="1">
        <v>5.6060018400000002</v>
      </c>
      <c r="R33" s="1">
        <v>5.6191026099999997</v>
      </c>
      <c r="S33" s="1">
        <v>4.4417027300000003</v>
      </c>
      <c r="T33" s="1">
        <v>65.736666700000001</v>
      </c>
      <c r="U33" s="1">
        <v>4.4417027200000003</v>
      </c>
      <c r="V33" s="1">
        <v>65.736666499999998</v>
      </c>
      <c r="W33" s="1">
        <v>323.23500000000001</v>
      </c>
      <c r="X33" s="1">
        <v>124.889079</v>
      </c>
      <c r="Y33" s="1">
        <v>577.83796099999995</v>
      </c>
      <c r="Z33" s="1">
        <v>2.86013509</v>
      </c>
      <c r="AA33" s="1">
        <v>3.0425671300000001</v>
      </c>
      <c r="AB33" s="1">
        <v>1.97044891</v>
      </c>
      <c r="AC33" s="1">
        <v>2.8775191200000001</v>
      </c>
      <c r="AD33" s="1">
        <v>2.7424489099999998</v>
      </c>
      <c r="AE33" s="1">
        <v>2.6975191199999999</v>
      </c>
      <c r="AF33" s="1">
        <v>-0.77200000000000002</v>
      </c>
      <c r="AG33" s="1">
        <v>0.18</v>
      </c>
      <c r="AH33" s="1">
        <v>3.3459339699999999</v>
      </c>
      <c r="AI33" s="1">
        <v>4.1428335799999996</v>
      </c>
      <c r="AJ33" s="1">
        <v>3.5855333900000002</v>
      </c>
      <c r="AK33" s="1">
        <v>3.8604150100000001</v>
      </c>
      <c r="AL33" s="1">
        <v>6.8951954100000004</v>
      </c>
      <c r="AM33" s="1">
        <v>1.17013593</v>
      </c>
      <c r="AN33" s="1">
        <v>8.2976057599999997</v>
      </c>
      <c r="AO33" s="1">
        <v>3.3352331199999998</v>
      </c>
      <c r="AP33" s="1">
        <v>3.7693287999999998</v>
      </c>
      <c r="AQ33" s="1">
        <v>-17.6830748</v>
      </c>
      <c r="AR33" s="1">
        <v>6.8951954100000004</v>
      </c>
      <c r="AS33" s="1">
        <v>1.17013593</v>
      </c>
      <c r="AT33" s="1">
        <v>-1.83354873</v>
      </c>
      <c r="AU33" s="1">
        <v>5.8064232100000002</v>
      </c>
      <c r="AV33" s="1">
        <v>11.340172900000001</v>
      </c>
      <c r="AW33" s="1">
        <v>6.1953681999999999</v>
      </c>
      <c r="AX33" s="1">
        <v>6.8118959400000003</v>
      </c>
      <c r="AY33" s="1">
        <v>-14.822939699999999</v>
      </c>
      <c r="AZ33" s="1">
        <v>-0.23959942300000001</v>
      </c>
      <c r="BA33" s="1">
        <v>105.766116</v>
      </c>
      <c r="BB33" s="1">
        <v>0.28241856999999998</v>
      </c>
    </row>
    <row r="34" spans="1:54">
      <c r="A34" t="s">
        <v>112</v>
      </c>
      <c r="B34" s="1">
        <v>1084.1601499999999</v>
      </c>
      <c r="C34" s="1">
        <v>1084.45715</v>
      </c>
      <c r="D34" s="1">
        <v>-0.29699999999999999</v>
      </c>
      <c r="E34" s="1">
        <v>469.41741400000001</v>
      </c>
      <c r="F34" s="1">
        <v>468.87056899999999</v>
      </c>
      <c r="G34" s="1">
        <v>4.7133333300000002</v>
      </c>
      <c r="H34" s="1">
        <v>4</v>
      </c>
      <c r="I34" s="1">
        <v>4.22333333</v>
      </c>
      <c r="J34" s="1">
        <v>463.79303299999998</v>
      </c>
      <c r="K34" s="1">
        <v>2.8646500000000001</v>
      </c>
      <c r="L34" s="1">
        <v>138.70246499999999</v>
      </c>
      <c r="M34" s="1">
        <v>385.89434699999998</v>
      </c>
      <c r="N34" s="1">
        <v>3.8966666700000001</v>
      </c>
      <c r="O34" s="1">
        <v>4.0966666700000003</v>
      </c>
      <c r="P34" s="1">
        <v>17.745230800000002</v>
      </c>
      <c r="Q34" s="1">
        <v>3.2760146200000002</v>
      </c>
      <c r="R34" s="1">
        <v>-1.5094540700000001</v>
      </c>
      <c r="S34" s="1">
        <v>5.0349705</v>
      </c>
      <c r="T34" s="1">
        <v>59.64</v>
      </c>
      <c r="U34" s="1">
        <v>5.0349705199999999</v>
      </c>
      <c r="V34" s="1">
        <v>59.640000100000002</v>
      </c>
      <c r="W34" s="1">
        <v>325.54700000000003</v>
      </c>
      <c r="X34" s="1">
        <v>125.782372</v>
      </c>
      <c r="Y34" s="1">
        <v>578.55068400000005</v>
      </c>
      <c r="Z34" s="1">
        <v>2.7906653299999999</v>
      </c>
      <c r="AA34" s="1">
        <v>2.8508926400000001</v>
      </c>
      <c r="AB34" s="1">
        <v>2.35027797</v>
      </c>
      <c r="AC34" s="1">
        <v>2.5554529499999998</v>
      </c>
      <c r="AD34" s="1">
        <v>2.4782779700000002</v>
      </c>
      <c r="AE34" s="1">
        <v>2.71145295</v>
      </c>
      <c r="AF34" s="1">
        <v>-0.128</v>
      </c>
      <c r="AG34" s="1">
        <v>-0.156</v>
      </c>
      <c r="AH34" s="1">
        <v>1.83108041</v>
      </c>
      <c r="AI34" s="1">
        <v>3.38676573</v>
      </c>
      <c r="AJ34" s="1">
        <v>1.3185903000000001</v>
      </c>
      <c r="AK34" s="1">
        <v>3.3357516</v>
      </c>
      <c r="AL34" s="1">
        <v>-9.3199489100000008</v>
      </c>
      <c r="AM34" s="1">
        <v>-2.41596761</v>
      </c>
      <c r="AN34" s="1">
        <v>47.297054299999999</v>
      </c>
      <c r="AO34" s="1">
        <v>16.2262837</v>
      </c>
      <c r="AP34" s="1">
        <v>-41.783041500000003</v>
      </c>
      <c r="AQ34" s="1">
        <v>-19.7837128</v>
      </c>
      <c r="AR34" s="1">
        <v>-9.3199489100000008</v>
      </c>
      <c r="AS34" s="1">
        <v>-2.41596761</v>
      </c>
      <c r="AT34" s="1">
        <v>-28.514226699999998</v>
      </c>
      <c r="AU34" s="1">
        <v>-7.2961955500000002</v>
      </c>
      <c r="AV34" s="1">
        <v>50.147946900000001</v>
      </c>
      <c r="AW34" s="1">
        <v>19.016949</v>
      </c>
      <c r="AX34" s="1">
        <v>-38.932148900000001</v>
      </c>
      <c r="AY34" s="1">
        <v>-16.993047499999999</v>
      </c>
      <c r="AZ34" s="1">
        <v>0.51249010900000003</v>
      </c>
      <c r="BA34" s="1">
        <v>103.33026700000001</v>
      </c>
      <c r="BB34" s="1">
        <v>5.1014129999999998E-2</v>
      </c>
    </row>
    <row r="35" spans="1:54">
      <c r="A35" t="s">
        <v>113</v>
      </c>
      <c r="B35" s="1">
        <v>1084.0531000000001</v>
      </c>
      <c r="C35" s="1">
        <v>1084.5531000000001</v>
      </c>
      <c r="D35" s="1">
        <v>-0.5</v>
      </c>
      <c r="E35" s="1">
        <v>470.098792</v>
      </c>
      <c r="F35" s="1">
        <v>469.91684500000002</v>
      </c>
      <c r="G35" s="1">
        <v>4.49416013</v>
      </c>
      <c r="H35" s="1">
        <v>4</v>
      </c>
      <c r="I35" s="1">
        <v>4.1967425799999996</v>
      </c>
      <c r="J35" s="1">
        <v>464.9187</v>
      </c>
      <c r="K35" s="1">
        <v>2.7</v>
      </c>
      <c r="L35" s="1">
        <v>142.11584500000001</v>
      </c>
      <c r="M35" s="1">
        <v>418.34152699999999</v>
      </c>
      <c r="N35" s="1">
        <v>3.6</v>
      </c>
      <c r="O35" s="1">
        <v>4.25</v>
      </c>
      <c r="P35" s="1">
        <v>24</v>
      </c>
      <c r="Q35" s="1">
        <v>2.42141867</v>
      </c>
      <c r="R35" s="1">
        <v>1.29784012</v>
      </c>
      <c r="S35" s="1">
        <v>5.2098000000000004</v>
      </c>
      <c r="T35" s="1">
        <v>82.5</v>
      </c>
      <c r="U35" s="1">
        <v>5.2508749400000001</v>
      </c>
      <c r="V35" s="1">
        <v>83.1504434</v>
      </c>
      <c r="W35" s="1">
        <v>328.11366700000002</v>
      </c>
      <c r="X35" s="1">
        <v>126.774061</v>
      </c>
      <c r="Y35" s="1">
        <v>579.33600899999999</v>
      </c>
      <c r="Z35" s="1">
        <v>2.6681069599999998</v>
      </c>
      <c r="AA35" s="1">
        <v>3.1412994400000001</v>
      </c>
      <c r="AB35" s="1">
        <v>-0.42819165100000001</v>
      </c>
      <c r="AC35" s="1">
        <v>0.87339208700000004</v>
      </c>
      <c r="AD35" s="1">
        <v>0.38380834899999999</v>
      </c>
      <c r="AE35" s="1">
        <v>2.0633992000000001</v>
      </c>
      <c r="AF35" s="1">
        <v>-0.35199999999999998</v>
      </c>
      <c r="AG35" s="1">
        <v>-1.075</v>
      </c>
      <c r="AH35" s="1">
        <v>2.7255104299999999</v>
      </c>
      <c r="AI35" s="1">
        <v>2.6263086100000002</v>
      </c>
      <c r="AJ35" s="1">
        <v>4.1851047399999999</v>
      </c>
      <c r="AK35" s="1">
        <v>3.3432841799999999</v>
      </c>
      <c r="AL35" s="1">
        <v>4.5026671399999998</v>
      </c>
      <c r="AM35" s="1">
        <v>-0.11546305499999999</v>
      </c>
      <c r="AN35" s="1">
        <v>13.65352</v>
      </c>
      <c r="AO35" s="1">
        <v>18.7324284</v>
      </c>
      <c r="AP35" s="1">
        <v>129.78872100000001</v>
      </c>
      <c r="AQ35" s="1">
        <v>11.9575449</v>
      </c>
      <c r="AR35" s="1">
        <v>4.5026671399999998</v>
      </c>
      <c r="AS35" s="1">
        <v>-0.11546305499999999</v>
      </c>
      <c r="AT35" s="1">
        <v>11.229176799999999</v>
      </c>
      <c r="AU35" s="1">
        <v>-5.37017013</v>
      </c>
      <c r="AV35" s="1">
        <v>13.65352</v>
      </c>
      <c r="AW35" s="1">
        <v>20.6152105</v>
      </c>
      <c r="AX35" s="1">
        <v>129.78872100000001</v>
      </c>
      <c r="AY35" s="1">
        <v>13.840327</v>
      </c>
      <c r="AZ35" s="1">
        <v>-1.6662960600000001</v>
      </c>
      <c r="BA35" s="1">
        <v>104.499993</v>
      </c>
      <c r="BB35" s="1">
        <v>-0.716975578</v>
      </c>
    </row>
    <row r="36" spans="1:54">
      <c r="A36" t="s">
        <v>114</v>
      </c>
      <c r="B36" s="1">
        <v>1084.87132</v>
      </c>
      <c r="C36" s="1">
        <v>1085.37132</v>
      </c>
      <c r="D36" s="1">
        <v>-0.5</v>
      </c>
      <c r="E36" s="1">
        <v>472.154922</v>
      </c>
      <c r="F36" s="1">
        <v>470.97082499999999</v>
      </c>
      <c r="G36" s="1">
        <v>4.5235812600000003</v>
      </c>
      <c r="H36" s="1">
        <v>4</v>
      </c>
      <c r="I36" s="1">
        <v>4.1884960199999997</v>
      </c>
      <c r="J36" s="1">
        <v>463.9572</v>
      </c>
      <c r="K36" s="1">
        <v>2.7</v>
      </c>
      <c r="L36" s="1">
        <v>145.62854100000001</v>
      </c>
      <c r="M36" s="1">
        <v>436.29832599999997</v>
      </c>
      <c r="N36" s="1">
        <v>3.6</v>
      </c>
      <c r="O36" s="1">
        <v>4.5</v>
      </c>
      <c r="P36" s="1">
        <v>22</v>
      </c>
      <c r="Q36" s="1">
        <v>1.45991867</v>
      </c>
      <c r="R36" s="1">
        <v>-1.37877044E-2</v>
      </c>
      <c r="S36" s="1">
        <v>5.4386000000000001</v>
      </c>
      <c r="T36" s="1">
        <v>88.6</v>
      </c>
      <c r="U36" s="1">
        <v>5.46559142</v>
      </c>
      <c r="V36" s="1">
        <v>100</v>
      </c>
      <c r="W36" s="1">
        <v>329.74207200000001</v>
      </c>
      <c r="X36" s="1">
        <v>127.403232</v>
      </c>
      <c r="Y36" s="1">
        <v>579.83107500000006</v>
      </c>
      <c r="Z36" s="1">
        <v>2.7537554900000001</v>
      </c>
      <c r="AA36" s="1">
        <v>1.98026273</v>
      </c>
      <c r="AB36" s="1">
        <v>3.2728580100000002</v>
      </c>
      <c r="AC36" s="1">
        <v>1.7913465900000001</v>
      </c>
      <c r="AD36" s="1">
        <v>3.2728580100000002</v>
      </c>
      <c r="AE36" s="1">
        <v>2.21934831</v>
      </c>
      <c r="AF36" s="1">
        <v>9.6000000000000002E-2</v>
      </c>
      <c r="AG36" s="1">
        <v>-0.28899999999999998</v>
      </c>
      <c r="AH36" s="1">
        <v>8.2245231400000005</v>
      </c>
      <c r="AI36" s="1">
        <v>4.0317623899999999</v>
      </c>
      <c r="AJ36" s="1">
        <v>4.2159205399999999</v>
      </c>
      <c r="AK36" s="1">
        <v>3.32628732</v>
      </c>
      <c r="AL36" s="1">
        <v>-3.8460000000000001</v>
      </c>
      <c r="AM36" s="1">
        <v>-0.44202159000000002</v>
      </c>
      <c r="AN36" s="1">
        <v>14.050783600000001</v>
      </c>
      <c r="AO36" s="1">
        <v>20.824740899999998</v>
      </c>
      <c r="AP36" s="1">
        <v>25.392126300000001</v>
      </c>
      <c r="AQ36" s="1">
        <v>29.2917837</v>
      </c>
      <c r="AR36" s="1">
        <v>-3.8460000000000001</v>
      </c>
      <c r="AS36" s="1">
        <v>-0.44202159000000002</v>
      </c>
      <c r="AT36" s="1">
        <v>-5.2465112899999999</v>
      </c>
      <c r="AU36" s="1">
        <v>-6.0912774900000004</v>
      </c>
      <c r="AV36" s="1">
        <v>17.192083</v>
      </c>
      <c r="AW36" s="1">
        <v>23.083430700000001</v>
      </c>
      <c r="AX36" s="1">
        <v>28.533425699999999</v>
      </c>
      <c r="AY36" s="1">
        <v>31.550473499999999</v>
      </c>
      <c r="AZ36" s="1">
        <v>3.77059933</v>
      </c>
      <c r="BA36" s="1">
        <v>103.50004</v>
      </c>
      <c r="BB36" s="1">
        <v>0.70547507300000001</v>
      </c>
    </row>
    <row r="37" spans="1:54">
      <c r="A37" t="s">
        <v>115</v>
      </c>
      <c r="B37" s="1">
        <v>1085.84754</v>
      </c>
      <c r="C37" s="1">
        <v>1086.3311699999999</v>
      </c>
      <c r="D37" s="1">
        <v>-0.48362563400000003</v>
      </c>
      <c r="E37" s="1">
        <v>473.14693499999998</v>
      </c>
      <c r="F37" s="1">
        <v>471.774632</v>
      </c>
      <c r="G37" s="1">
        <v>4.7492864800000003</v>
      </c>
      <c r="H37" s="1">
        <v>4</v>
      </c>
      <c r="I37" s="1">
        <v>4.1871056400000004</v>
      </c>
      <c r="J37" s="1">
        <v>463.47289999999998</v>
      </c>
      <c r="K37" s="1">
        <v>2.7</v>
      </c>
      <c r="L37" s="1">
        <v>146.51759300000001</v>
      </c>
      <c r="M37" s="1">
        <v>435.80326000000002</v>
      </c>
      <c r="N37" s="1">
        <v>3.6</v>
      </c>
      <c r="O37" s="1">
        <v>4.55</v>
      </c>
      <c r="P37" s="1">
        <v>21</v>
      </c>
      <c r="Q37" s="1">
        <v>0.97561867199999996</v>
      </c>
      <c r="R37" s="1">
        <v>-1.5649805000000001</v>
      </c>
      <c r="S37" s="1">
        <v>5.5144000000000002</v>
      </c>
      <c r="T37" s="1">
        <v>87.5</v>
      </c>
      <c r="U37" s="1">
        <v>5.5417676299999998</v>
      </c>
      <c r="V37" s="1">
        <v>100</v>
      </c>
      <c r="W37" s="1">
        <v>331.37855999999999</v>
      </c>
      <c r="X37" s="1">
        <v>128.035526</v>
      </c>
      <c r="Y37" s="1">
        <v>580.32614100000001</v>
      </c>
      <c r="Z37" s="1">
        <v>2.48817939</v>
      </c>
      <c r="AA37" s="1">
        <v>1.98026273</v>
      </c>
      <c r="AB37" s="1">
        <v>3.90490643</v>
      </c>
      <c r="AC37" s="1">
        <v>2.2749632000000002</v>
      </c>
      <c r="AD37" s="1">
        <v>3.83940897</v>
      </c>
      <c r="AE37" s="1">
        <v>2.4935883300000001</v>
      </c>
      <c r="AF37" s="1">
        <v>-0.312</v>
      </c>
      <c r="AG37" s="1">
        <v>-0.17399999999999999</v>
      </c>
      <c r="AH37" s="1">
        <v>3.9680498499999999</v>
      </c>
      <c r="AI37" s="1">
        <v>4.1872918600000002</v>
      </c>
      <c r="AJ37" s="1">
        <v>3.2152279500000001</v>
      </c>
      <c r="AK37" s="1">
        <v>3.2337113099999999</v>
      </c>
      <c r="AL37" s="1">
        <v>-1.9372</v>
      </c>
      <c r="AM37" s="1">
        <v>-2.6501204399999998</v>
      </c>
      <c r="AN37" s="1">
        <v>3.5562083800000002</v>
      </c>
      <c r="AO37" s="1">
        <v>19.639391499999999</v>
      </c>
      <c r="AP37" s="1">
        <v>-6.9774884300000002</v>
      </c>
      <c r="AQ37" s="1">
        <v>26.605079400000001</v>
      </c>
      <c r="AR37" s="1">
        <v>-1.9372</v>
      </c>
      <c r="AS37" s="1">
        <v>-2.6501204399999998</v>
      </c>
      <c r="AT37" s="1">
        <v>-6.2047711400000001</v>
      </c>
      <c r="AU37" s="1">
        <v>-7.1840830999999996</v>
      </c>
      <c r="AV37" s="1">
        <v>5.5364711099999999</v>
      </c>
      <c r="AW37" s="1">
        <v>21.632505299999998</v>
      </c>
      <c r="AX37" s="1">
        <v>-4.9972257000000004</v>
      </c>
      <c r="AY37" s="1">
        <v>28.5981931</v>
      </c>
      <c r="AZ37" s="1">
        <v>0.75282190999999998</v>
      </c>
      <c r="BA37" s="1">
        <v>103.000001</v>
      </c>
      <c r="BB37" s="1">
        <v>0.953580549</v>
      </c>
    </row>
    <row r="38" spans="1:54">
      <c r="A38" t="s">
        <v>116</v>
      </c>
      <c r="B38" s="1">
        <v>1086.3352</v>
      </c>
      <c r="C38" s="1">
        <v>1086.8767600000001</v>
      </c>
      <c r="D38" s="1">
        <v>-0.54155869499999998</v>
      </c>
      <c r="E38" s="1">
        <v>473.68232599999999</v>
      </c>
      <c r="F38" s="1">
        <v>472.09142400000002</v>
      </c>
      <c r="G38" s="1">
        <v>4.5815839799999996</v>
      </c>
      <c r="H38" s="1">
        <v>4</v>
      </c>
      <c r="I38" s="1">
        <v>4.1888007500000004</v>
      </c>
      <c r="J38" s="1">
        <v>463.16904</v>
      </c>
      <c r="K38" s="1">
        <v>2.7</v>
      </c>
      <c r="L38" s="1">
        <v>144.61450300000001</v>
      </c>
      <c r="M38" s="1">
        <v>424.77214300000003</v>
      </c>
      <c r="N38" s="1">
        <v>3.6</v>
      </c>
      <c r="O38" s="1">
        <v>4.6500000000000004</v>
      </c>
      <c r="P38" s="1">
        <v>19</v>
      </c>
      <c r="Q38" s="1">
        <v>0.67175867199999995</v>
      </c>
      <c r="R38" s="1">
        <v>1.3300742399999999E-2</v>
      </c>
      <c r="S38" s="1">
        <v>5.4372999999999996</v>
      </c>
      <c r="T38" s="1">
        <v>85.6</v>
      </c>
      <c r="U38" s="1">
        <v>5.4642849399999998</v>
      </c>
      <c r="V38" s="1">
        <v>90</v>
      </c>
      <c r="W38" s="1">
        <v>333.023169</v>
      </c>
      <c r="X38" s="1">
        <v>128.67095699999999</v>
      </c>
      <c r="Y38" s="1">
        <v>580.82120599999996</v>
      </c>
      <c r="Z38" s="1">
        <v>2.2705219099999998</v>
      </c>
      <c r="AA38" s="1">
        <v>1.98026273</v>
      </c>
      <c r="AB38" s="1">
        <v>1.9506160699999999</v>
      </c>
      <c r="AC38" s="1">
        <v>2.1750472200000002</v>
      </c>
      <c r="AD38" s="1">
        <v>2.18234832</v>
      </c>
      <c r="AE38" s="1">
        <v>2.41960592</v>
      </c>
      <c r="AF38" s="1">
        <v>-0.23599999999999999</v>
      </c>
      <c r="AG38" s="1">
        <v>-0.20100000000000001</v>
      </c>
      <c r="AH38" s="1">
        <v>2.1415636899999999</v>
      </c>
      <c r="AI38" s="1">
        <v>4.2649117800000003</v>
      </c>
      <c r="AJ38" s="1">
        <v>1.2671683600000001</v>
      </c>
      <c r="AK38" s="1">
        <v>3.2208554</v>
      </c>
      <c r="AL38" s="1">
        <v>-1.2154415999999999</v>
      </c>
      <c r="AM38" s="1">
        <v>-0.62399361499999995</v>
      </c>
      <c r="AN38" s="1">
        <v>-7.6123581099999997</v>
      </c>
      <c r="AO38" s="1">
        <v>5.9120384399999999</v>
      </c>
      <c r="AP38" s="1">
        <v>-10.7616668</v>
      </c>
      <c r="AQ38" s="1">
        <v>34.360423099999998</v>
      </c>
      <c r="AR38" s="1">
        <v>-1.2154415999999999</v>
      </c>
      <c r="AS38" s="1">
        <v>-0.62399361499999995</v>
      </c>
      <c r="AT38" s="1">
        <v>6.3131249299999999</v>
      </c>
      <c r="AU38" s="1">
        <v>1.5227548200000001</v>
      </c>
      <c r="AV38" s="1">
        <v>-5.63209538</v>
      </c>
      <c r="AW38" s="1">
        <v>7.6874946700000004</v>
      </c>
      <c r="AX38" s="1">
        <v>-8.7814040900000006</v>
      </c>
      <c r="AY38" s="1">
        <v>36.135879299999999</v>
      </c>
      <c r="AZ38" s="1">
        <v>0.87439533300000005</v>
      </c>
      <c r="BA38" s="1">
        <v>102.6875</v>
      </c>
      <c r="BB38" s="1">
        <v>1.04405638</v>
      </c>
    </row>
    <row r="39" spans="1:54">
      <c r="A39" t="s">
        <v>117</v>
      </c>
      <c r="B39" s="1">
        <v>1086.57726</v>
      </c>
      <c r="C39" s="1">
        <v>1087.1867199999999</v>
      </c>
      <c r="D39" s="1">
        <v>-0.60946443699999997</v>
      </c>
      <c r="E39" s="1">
        <v>474.08175399999999</v>
      </c>
      <c r="F39" s="1">
        <v>473.14603099999999</v>
      </c>
      <c r="G39" s="1">
        <v>4.3247540000000004</v>
      </c>
      <c r="H39" s="1">
        <v>4</v>
      </c>
      <c r="I39" s="1">
        <v>4.0876421499999998</v>
      </c>
      <c r="J39" s="1">
        <v>462.74207899999999</v>
      </c>
      <c r="K39" s="1">
        <v>2.9</v>
      </c>
      <c r="L39" s="1">
        <v>139.40865299999999</v>
      </c>
      <c r="M39" s="1">
        <v>418.56123600000001</v>
      </c>
      <c r="N39" s="1">
        <v>3.4</v>
      </c>
      <c r="O39" s="1">
        <v>4.63</v>
      </c>
      <c r="P39" s="1">
        <v>18.5</v>
      </c>
      <c r="Q39" s="1">
        <v>0.24479767199999999</v>
      </c>
      <c r="R39" s="1">
        <v>-5.6937228700000002</v>
      </c>
      <c r="S39" s="1">
        <v>5.1871</v>
      </c>
      <c r="T39" s="1">
        <v>78</v>
      </c>
      <c r="U39" s="1">
        <v>5.2128431900000001</v>
      </c>
      <c r="V39" s="1">
        <v>85</v>
      </c>
      <c r="W39" s="1">
        <v>334.67594000000003</v>
      </c>
      <c r="X39" s="1">
        <v>129.30954199999999</v>
      </c>
      <c r="Y39" s="1">
        <v>581.31627200000003</v>
      </c>
      <c r="Z39" s="1">
        <v>1.98026273</v>
      </c>
      <c r="AA39" s="1">
        <v>1.98026273</v>
      </c>
      <c r="AB39" s="1">
        <v>0.96824789899999997</v>
      </c>
      <c r="AC39" s="1">
        <v>2.5241571</v>
      </c>
      <c r="AD39" s="1">
        <v>1.2398708700000001</v>
      </c>
      <c r="AE39" s="1">
        <v>2.63362155</v>
      </c>
      <c r="AF39" s="1">
        <v>-7.1999999999999995E-2</v>
      </c>
      <c r="AG39" s="1">
        <v>-0.13100000000000001</v>
      </c>
      <c r="AH39" s="1">
        <v>1.5977128199999999</v>
      </c>
      <c r="AI39" s="1">
        <v>3.98296238</v>
      </c>
      <c r="AJ39" s="1">
        <v>4.2184258799999999</v>
      </c>
      <c r="AK39" s="1">
        <v>3.2291856800000001</v>
      </c>
      <c r="AL39" s="1">
        <v>-1.7078404</v>
      </c>
      <c r="AM39" s="1">
        <v>-2.1766204999999998</v>
      </c>
      <c r="AN39" s="1">
        <v>-20.823398699999998</v>
      </c>
      <c r="AO39" s="1">
        <v>-2.7071912199999999</v>
      </c>
      <c r="AP39" s="1">
        <v>-39.170845300000003</v>
      </c>
      <c r="AQ39" s="1">
        <v>-7.8794685700000002</v>
      </c>
      <c r="AR39" s="1">
        <v>-1.7078404</v>
      </c>
      <c r="AS39" s="1">
        <v>-2.1766204999999998</v>
      </c>
      <c r="AT39" s="1">
        <v>-22.828094499999999</v>
      </c>
      <c r="AU39" s="1">
        <v>-6.9915629900000003</v>
      </c>
      <c r="AV39" s="1">
        <v>-18.843136000000001</v>
      </c>
      <c r="AW39" s="1">
        <v>-0.43666931599999997</v>
      </c>
      <c r="AX39" s="1">
        <v>-37.190582599999999</v>
      </c>
      <c r="AY39" s="1">
        <v>-5.6089466699999999</v>
      </c>
      <c r="AZ39" s="1">
        <v>-2.6207130699999999</v>
      </c>
      <c r="BA39" s="1">
        <v>102.249999</v>
      </c>
      <c r="BB39" s="1">
        <v>0.75377669599999997</v>
      </c>
    </row>
    <row r="40" spans="1:54">
      <c r="A40" t="s">
        <v>118</v>
      </c>
      <c r="B40" s="1">
        <v>1087.4253000000001</v>
      </c>
      <c r="C40" s="1">
        <v>1087.96343</v>
      </c>
      <c r="D40" s="1">
        <v>-0.53812929200000004</v>
      </c>
      <c r="E40" s="1">
        <v>474.95394099999999</v>
      </c>
      <c r="F40" s="1">
        <v>474.18807399999997</v>
      </c>
      <c r="G40" s="1">
        <v>4.2280094799999999</v>
      </c>
      <c r="H40" s="1">
        <v>4</v>
      </c>
      <c r="I40" s="1">
        <v>4.0948915599999998</v>
      </c>
      <c r="J40" s="1">
        <v>462.4973</v>
      </c>
      <c r="K40" s="1">
        <v>2.9</v>
      </c>
      <c r="L40" s="1">
        <v>137.46300600000001</v>
      </c>
      <c r="M40" s="1">
        <v>418.06617</v>
      </c>
      <c r="N40" s="1">
        <v>3.4</v>
      </c>
      <c r="O40" s="1">
        <v>4.55</v>
      </c>
      <c r="P40" s="1">
        <v>18</v>
      </c>
      <c r="Q40" s="1">
        <v>1.8672256099999999E-5</v>
      </c>
      <c r="R40" s="1">
        <v>-7.7972542000000002</v>
      </c>
      <c r="S40" s="1">
        <v>5.1124000000000001</v>
      </c>
      <c r="T40" s="1">
        <v>75.2</v>
      </c>
      <c r="U40" s="1">
        <v>5.1377724799999998</v>
      </c>
      <c r="V40" s="1">
        <v>85</v>
      </c>
      <c r="W40" s="1">
        <v>336.33691399999998</v>
      </c>
      <c r="X40" s="1">
        <v>129.95129700000001</v>
      </c>
      <c r="Y40" s="1">
        <v>581.81133799999998</v>
      </c>
      <c r="Z40" s="1">
        <v>1.98026273</v>
      </c>
      <c r="AA40" s="1">
        <v>1.98026273</v>
      </c>
      <c r="AB40" s="1">
        <v>3.3921720199999998</v>
      </c>
      <c r="AC40" s="1">
        <v>2.5539855999999999</v>
      </c>
      <c r="AD40" s="1">
        <v>3.1068314400000001</v>
      </c>
      <c r="AE40" s="1">
        <v>2.5921148999999999</v>
      </c>
      <c r="AF40" s="1">
        <v>0.13600000000000001</v>
      </c>
      <c r="AG40" s="1">
        <v>-0.121</v>
      </c>
      <c r="AH40" s="1">
        <v>3.4887478000000001</v>
      </c>
      <c r="AI40" s="1">
        <v>2.7990185400000001</v>
      </c>
      <c r="AJ40" s="1">
        <v>4.1681724100000004</v>
      </c>
      <c r="AK40" s="1">
        <v>3.2172486500000002</v>
      </c>
      <c r="AL40" s="1">
        <v>-0.97911800000000004</v>
      </c>
      <c r="AM40" s="1">
        <v>-1.4599</v>
      </c>
      <c r="AN40" s="1">
        <v>-7.7825878800000003</v>
      </c>
      <c r="AO40" s="1">
        <v>-8.1655340800000005</v>
      </c>
      <c r="AP40" s="1">
        <v>-16.603300999999998</v>
      </c>
      <c r="AQ40" s="1">
        <v>-18.378325400000001</v>
      </c>
      <c r="AR40" s="1">
        <v>-0.97911800000000004</v>
      </c>
      <c r="AS40" s="1">
        <v>-1.4599</v>
      </c>
      <c r="AT40" s="1">
        <v>-8.4141252800000004</v>
      </c>
      <c r="AU40" s="1">
        <v>-7.7834664900000003</v>
      </c>
      <c r="AV40" s="1">
        <v>-5.8023251499999997</v>
      </c>
      <c r="AW40" s="1">
        <v>-6.1852713499999998</v>
      </c>
      <c r="AX40" s="1">
        <v>-14.623038299999999</v>
      </c>
      <c r="AY40" s="1">
        <v>-16.398062700000001</v>
      </c>
      <c r="AZ40" s="1">
        <v>-0.67942461799999998</v>
      </c>
      <c r="BA40" s="1">
        <v>102.00001899999999</v>
      </c>
      <c r="BB40" s="1">
        <v>-0.41823010999999999</v>
      </c>
    </row>
    <row r="41" spans="1:54">
      <c r="A41" t="s">
        <v>119</v>
      </c>
      <c r="B41" s="1">
        <v>1087.8719000000001</v>
      </c>
      <c r="C41" s="1">
        <v>1088.3258599999999</v>
      </c>
      <c r="D41" s="1">
        <v>-0.45395933700000002</v>
      </c>
      <c r="E41" s="1">
        <v>475.56027399999999</v>
      </c>
      <c r="F41" s="1">
        <v>474.72751099999999</v>
      </c>
      <c r="G41" s="1">
        <v>4.2395048099999997</v>
      </c>
      <c r="H41" s="1">
        <v>4</v>
      </c>
      <c r="I41" s="1">
        <v>4.1041261200000001</v>
      </c>
      <c r="J41" s="1">
        <v>462</v>
      </c>
      <c r="K41" s="1">
        <v>2.9</v>
      </c>
      <c r="L41" s="1">
        <v>135.991038</v>
      </c>
      <c r="M41" s="1">
        <v>417.57110499999999</v>
      </c>
      <c r="N41" s="1">
        <v>3.4</v>
      </c>
      <c r="O41" s="1">
        <v>4.37</v>
      </c>
      <c r="P41" s="1">
        <v>17.25</v>
      </c>
      <c r="Q41" s="1">
        <v>-0.49728132800000002</v>
      </c>
      <c r="R41" s="1">
        <v>-8.3249726099999997</v>
      </c>
      <c r="S41" s="1">
        <v>5.0627000000000004</v>
      </c>
      <c r="T41" s="1">
        <v>73.3</v>
      </c>
      <c r="U41" s="1">
        <v>5.08782581</v>
      </c>
      <c r="V41" s="1">
        <v>85</v>
      </c>
      <c r="W41" s="1">
        <v>338.00613099999998</v>
      </c>
      <c r="X41" s="1">
        <v>130.596236</v>
      </c>
      <c r="Y41" s="1">
        <v>582.30640300000005</v>
      </c>
      <c r="Z41" s="1">
        <v>1.98026273</v>
      </c>
      <c r="AA41" s="1">
        <v>1.98026273</v>
      </c>
      <c r="AB41" s="1">
        <v>1.78638944</v>
      </c>
      <c r="AC41" s="1">
        <v>2.0243563600000001</v>
      </c>
      <c r="AD41" s="1">
        <v>1.4497096199999999</v>
      </c>
      <c r="AE41" s="1">
        <v>1.9946900599999999</v>
      </c>
      <c r="AF41" s="1">
        <v>0.22800000000000001</v>
      </c>
      <c r="AG41" s="1">
        <v>1.4E-2</v>
      </c>
      <c r="AH41" s="1">
        <v>2.4253340699999999</v>
      </c>
      <c r="AI41" s="1">
        <v>2.4133395900000001</v>
      </c>
      <c r="AJ41" s="1">
        <v>2.1577484500000002</v>
      </c>
      <c r="AK41" s="1">
        <v>2.9528787799999998</v>
      </c>
      <c r="AL41" s="1">
        <v>-1.9892000000000001</v>
      </c>
      <c r="AM41" s="1">
        <v>-1.4729000000000001</v>
      </c>
      <c r="AN41" s="1">
        <v>-5.88787211</v>
      </c>
      <c r="AO41" s="1">
        <v>-10.5265542</v>
      </c>
      <c r="AP41" s="1">
        <v>-12.2165116</v>
      </c>
      <c r="AQ41" s="1">
        <v>-19.688081199999999</v>
      </c>
      <c r="AR41" s="1">
        <v>-1.9892000000000001</v>
      </c>
      <c r="AS41" s="1">
        <v>-1.4729000000000001</v>
      </c>
      <c r="AT41" s="1">
        <v>-2.1108736800000001</v>
      </c>
      <c r="AU41" s="1">
        <v>-6.7599921199999997</v>
      </c>
      <c r="AV41" s="1">
        <v>-3.9076093799999998</v>
      </c>
      <c r="AW41" s="1">
        <v>-8.5462914800000007</v>
      </c>
      <c r="AX41" s="1">
        <v>-10.2362488</v>
      </c>
      <c r="AY41" s="1">
        <v>-17.707818400000001</v>
      </c>
      <c r="AZ41" s="1">
        <v>0.26758561600000003</v>
      </c>
      <c r="BA41" s="1">
        <v>101.494032</v>
      </c>
      <c r="BB41" s="1">
        <v>-0.53953918099999998</v>
      </c>
    </row>
    <row r="42" spans="1:54">
      <c r="A42" t="s">
        <v>120</v>
      </c>
      <c r="B42" s="1">
        <v>1088.28721</v>
      </c>
      <c r="C42" s="1">
        <v>1088.6793600000001</v>
      </c>
      <c r="D42" s="1">
        <v>-0.392152373</v>
      </c>
      <c r="E42" s="1">
        <v>476.39900699999998</v>
      </c>
      <c r="F42" s="1">
        <v>475.05313999999998</v>
      </c>
      <c r="G42" s="1">
        <v>4.2405462500000004</v>
      </c>
      <c r="H42" s="1">
        <v>4</v>
      </c>
      <c r="I42" s="1">
        <v>4.1098570099999998</v>
      </c>
      <c r="J42" s="1">
        <v>462</v>
      </c>
      <c r="K42" s="1">
        <v>2.9</v>
      </c>
      <c r="L42" s="1">
        <v>135.002927</v>
      </c>
      <c r="M42" s="1">
        <v>417.07603899999998</v>
      </c>
      <c r="N42" s="1">
        <v>3.4</v>
      </c>
      <c r="O42" s="1">
        <v>4.2</v>
      </c>
      <c r="P42" s="1">
        <v>17</v>
      </c>
      <c r="Q42" s="1">
        <v>-0.49728132800000002</v>
      </c>
      <c r="R42" s="1">
        <v>-6.9050118600000001</v>
      </c>
      <c r="S42" s="1">
        <v>5.0377999999999998</v>
      </c>
      <c r="T42" s="1">
        <v>72.400000000000006</v>
      </c>
      <c r="U42" s="1">
        <v>5.0628022499999998</v>
      </c>
      <c r="V42" s="1">
        <v>85</v>
      </c>
      <c r="W42" s="1">
        <v>339.68363199999999</v>
      </c>
      <c r="X42" s="1">
        <v>131.24437599999999</v>
      </c>
      <c r="Y42" s="1">
        <v>582.801469</v>
      </c>
      <c r="Z42" s="1">
        <v>1.98026273</v>
      </c>
      <c r="AA42" s="1">
        <v>1.98026273</v>
      </c>
      <c r="AB42" s="1">
        <v>1.66122316</v>
      </c>
      <c r="AC42" s="1">
        <v>1.9520081300000001</v>
      </c>
      <c r="AD42" s="1">
        <v>1.4139953000000001</v>
      </c>
      <c r="AE42" s="1">
        <v>1.8026018100000001</v>
      </c>
      <c r="AF42" s="1">
        <v>0.20799999999999999</v>
      </c>
      <c r="AG42" s="1">
        <v>0.125</v>
      </c>
      <c r="AH42" s="1">
        <v>3.3549292500000001</v>
      </c>
      <c r="AI42" s="1">
        <v>2.71668098</v>
      </c>
      <c r="AJ42" s="1">
        <v>1.30251479</v>
      </c>
      <c r="AK42" s="1">
        <v>2.9617153799999998</v>
      </c>
      <c r="AL42" s="1">
        <v>0</v>
      </c>
      <c r="AM42" s="1">
        <v>-1.1690396000000001</v>
      </c>
      <c r="AN42" s="1">
        <v>-3.95244632</v>
      </c>
      <c r="AO42" s="1">
        <v>-9.6115762599999996</v>
      </c>
      <c r="AP42" s="1">
        <v>-6.9219865299999999</v>
      </c>
      <c r="AQ42" s="1">
        <v>-18.728161100000001</v>
      </c>
      <c r="AR42" s="1">
        <v>0</v>
      </c>
      <c r="AS42" s="1">
        <v>-1.1690396000000001</v>
      </c>
      <c r="AT42" s="1">
        <v>5.6798430299999998</v>
      </c>
      <c r="AU42" s="1">
        <v>-6.9183126000000001</v>
      </c>
      <c r="AV42" s="1">
        <v>-1.97218359</v>
      </c>
      <c r="AW42" s="1">
        <v>-7.6313135299999999</v>
      </c>
      <c r="AX42" s="1">
        <v>-4.9417238000000001</v>
      </c>
      <c r="AY42" s="1">
        <v>-16.7478984</v>
      </c>
      <c r="AZ42" s="1">
        <v>2.0524144600000001</v>
      </c>
      <c r="BA42" s="1">
        <v>101.494032</v>
      </c>
      <c r="BB42" s="1">
        <v>-0.24503440000000001</v>
      </c>
    </row>
    <row r="43" spans="1:54">
      <c r="A43" t="s">
        <v>121</v>
      </c>
      <c r="B43" s="1">
        <v>1088.7048</v>
      </c>
      <c r="C43" s="1">
        <v>1089.07681</v>
      </c>
      <c r="D43" s="1">
        <v>-0.37200515499999998</v>
      </c>
      <c r="E43" s="1">
        <v>477.03232100000002</v>
      </c>
      <c r="F43" s="1">
        <v>475.98878400000001</v>
      </c>
      <c r="G43" s="1">
        <v>4.2107615000000003</v>
      </c>
      <c r="H43" s="1">
        <v>4</v>
      </c>
      <c r="I43" s="1">
        <v>4.1184333999999998</v>
      </c>
      <c r="J43" s="1">
        <v>462.198913</v>
      </c>
      <c r="K43" s="1">
        <v>2.9315859999999998</v>
      </c>
      <c r="L43" s="1">
        <v>134.29609099999999</v>
      </c>
      <c r="M43" s="1">
        <v>409.26967300000001</v>
      </c>
      <c r="N43" s="1">
        <v>3.4039999999999999</v>
      </c>
      <c r="O43" s="1">
        <v>4.18</v>
      </c>
      <c r="P43" s="1">
        <v>17</v>
      </c>
      <c r="Q43" s="1">
        <v>-0.29836879700000002</v>
      </c>
      <c r="R43" s="1">
        <v>-3.8863997299999999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s="1">
        <v>1.67038558</v>
      </c>
      <c r="AC43" s="1">
        <v>2.1275425499999998</v>
      </c>
      <c r="AD43" s="1">
        <v>1.5897967099999999</v>
      </c>
      <c r="AE43" t="s">
        <v>80</v>
      </c>
      <c r="AF43" t="s">
        <v>80</v>
      </c>
      <c r="AG43" t="s">
        <v>80</v>
      </c>
      <c r="AH43" s="1">
        <v>2.5332549599999998</v>
      </c>
      <c r="AI43" s="1">
        <v>2.9505665200000002</v>
      </c>
      <c r="AJ43" s="1">
        <v>3.7425765800000002</v>
      </c>
      <c r="AK43" s="1">
        <v>2.8427530600000002</v>
      </c>
      <c r="AL43" t="s">
        <v>80</v>
      </c>
      <c r="AM43" t="s">
        <v>80</v>
      </c>
      <c r="AN43" t="s">
        <v>80</v>
      </c>
      <c r="AO43" t="s">
        <v>80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s="1">
        <v>-1.2093216200000001</v>
      </c>
      <c r="BA43" s="1">
        <v>101.696117</v>
      </c>
      <c r="BB43" s="1">
        <v>0.107813459</v>
      </c>
    </row>
    <row r="44" spans="1:54">
      <c r="A44" t="s">
        <v>122</v>
      </c>
      <c r="B44" s="1">
        <v>1089.12229</v>
      </c>
      <c r="C44" s="1">
        <v>1089.5050200000001</v>
      </c>
      <c r="D44" s="1">
        <v>-0.382729702</v>
      </c>
      <c r="E44" s="1">
        <v>477.823058</v>
      </c>
      <c r="F44" s="1">
        <v>477.12414100000001</v>
      </c>
      <c r="G44" s="1">
        <v>4.1776597100000004</v>
      </c>
      <c r="H44" s="1">
        <v>4</v>
      </c>
      <c r="I44" s="1">
        <v>4.1153320500000001</v>
      </c>
      <c r="J44" s="1">
        <v>462.31826000000001</v>
      </c>
      <c r="K44" s="1">
        <v>2.9531952499999998</v>
      </c>
      <c r="L44" s="1">
        <v>133.765964</v>
      </c>
      <c r="M44" s="1">
        <v>403.81856599999998</v>
      </c>
      <c r="N44" s="1">
        <v>3.4078400000000002</v>
      </c>
      <c r="O44" s="1">
        <v>4.1619999999999999</v>
      </c>
      <c r="P44" s="1">
        <v>17</v>
      </c>
      <c r="Q44" s="1">
        <v>-0.17902127800000001</v>
      </c>
      <c r="R44" s="1">
        <v>-1.7785330699999999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s="1">
        <v>1.66995951</v>
      </c>
      <c r="AC44" s="1">
        <v>1.69698942</v>
      </c>
      <c r="AD44" s="1">
        <v>1.7128577</v>
      </c>
      <c r="AE44" t="s">
        <v>80</v>
      </c>
      <c r="AF44" t="s">
        <v>80</v>
      </c>
      <c r="AG44" t="s">
        <v>80</v>
      </c>
      <c r="AH44" s="1">
        <v>3.1629490499999999</v>
      </c>
      <c r="AI44" s="1">
        <v>2.8691168299999998</v>
      </c>
      <c r="AJ44" s="1">
        <v>4.5414284199999999</v>
      </c>
      <c r="AK44" s="1">
        <v>2.9360670600000001</v>
      </c>
      <c r="AL44" t="s">
        <v>80</v>
      </c>
      <c r="AM44" t="s">
        <v>80</v>
      </c>
      <c r="AN44" t="s">
        <v>80</v>
      </c>
      <c r="AO44" t="s">
        <v>80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s="1">
        <v>-1.37847937</v>
      </c>
      <c r="BA44" s="1">
        <v>101.817562</v>
      </c>
      <c r="BB44" s="1">
        <v>-6.6950229200000003E-2</v>
      </c>
    </row>
    <row r="45" spans="1:54">
      <c r="A45" t="s">
        <v>123</v>
      </c>
      <c r="B45" s="1">
        <v>1089.5936899999999</v>
      </c>
      <c r="C45" s="1">
        <v>1089.9547700000001</v>
      </c>
      <c r="D45" s="1">
        <v>-0.361082336</v>
      </c>
      <c r="E45" s="1">
        <v>478.62705399999999</v>
      </c>
      <c r="F45" s="1">
        <v>477.877161</v>
      </c>
      <c r="G45" s="1">
        <v>4.18124918</v>
      </c>
      <c r="H45" s="1">
        <v>4</v>
      </c>
      <c r="I45" s="1">
        <v>4.1088798400000002</v>
      </c>
      <c r="J45" s="1">
        <v>462.38986899999998</v>
      </c>
      <c r="K45" s="1">
        <v>2.9679790000000001</v>
      </c>
      <c r="L45" s="1">
        <v>133.368369</v>
      </c>
      <c r="M45" s="1">
        <v>400.012113</v>
      </c>
      <c r="N45" s="1">
        <v>3.4115264000000001</v>
      </c>
      <c r="O45" s="1">
        <v>4.1458000000000004</v>
      </c>
      <c r="P45" s="1">
        <v>17</v>
      </c>
      <c r="Q45" s="1">
        <v>-0.10741276700000001</v>
      </c>
      <c r="R45" s="1">
        <v>-0.30663085499999998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s="1">
        <v>1.8855898499999999</v>
      </c>
      <c r="AC45" s="1">
        <v>1.72178952</v>
      </c>
      <c r="AD45" s="1">
        <v>1.79900039</v>
      </c>
      <c r="AE45" t="s">
        <v>80</v>
      </c>
      <c r="AF45" t="s">
        <v>80</v>
      </c>
      <c r="AG45" t="s">
        <v>80</v>
      </c>
      <c r="AH45" s="1">
        <v>3.2159842900000002</v>
      </c>
      <c r="AI45" s="1">
        <v>3.0667793900000002</v>
      </c>
      <c r="AJ45" s="1">
        <v>3.0120810599999999</v>
      </c>
      <c r="AK45" s="1">
        <v>3.1496502099999999</v>
      </c>
      <c r="AL45" t="s">
        <v>80</v>
      </c>
      <c r="AM45" t="s">
        <v>80</v>
      </c>
      <c r="AN45" t="s">
        <v>80</v>
      </c>
      <c r="AO45" t="s">
        <v>80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s="1">
        <v>0.20390322799999999</v>
      </c>
      <c r="BA45" s="1">
        <v>101.89049799999999</v>
      </c>
      <c r="BB45" s="1">
        <v>-8.2870826999999994E-2</v>
      </c>
    </row>
    <row r="46" spans="1:54">
      <c r="A46" t="s">
        <v>124</v>
      </c>
      <c r="B46" s="1">
        <v>1090.0912800000001</v>
      </c>
      <c r="C46" s="1">
        <v>1090.4195999999999</v>
      </c>
      <c r="D46" s="1">
        <v>-0.32831233599999998</v>
      </c>
      <c r="E46" s="1">
        <v>479.25512700000002</v>
      </c>
      <c r="F46" s="1">
        <v>478.32688000000002</v>
      </c>
      <c r="G46" s="1">
        <v>4.1922666700000004</v>
      </c>
      <c r="H46" s="1">
        <v>4</v>
      </c>
      <c r="I46" s="1">
        <v>4.09968252</v>
      </c>
      <c r="J46" s="1">
        <v>462.43283400000001</v>
      </c>
      <c r="K46" s="1">
        <v>2.9780931499999999</v>
      </c>
      <c r="L46" s="1">
        <v>133.07017300000001</v>
      </c>
      <c r="M46" s="1">
        <v>397.35410400000001</v>
      </c>
      <c r="N46" s="1">
        <v>3.4150653399999999</v>
      </c>
      <c r="O46" s="1">
        <v>4.1312199999999999</v>
      </c>
      <c r="P46" s="1">
        <v>17</v>
      </c>
      <c r="Q46" s="1">
        <v>-6.4447660099999998E-2</v>
      </c>
      <c r="R46" s="1">
        <v>0.72118373999999996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80</v>
      </c>
      <c r="Y46" t="s">
        <v>80</v>
      </c>
      <c r="Z46" t="s">
        <v>80</v>
      </c>
      <c r="AA46" t="s">
        <v>80</v>
      </c>
      <c r="AB46" s="1">
        <v>1.99038027</v>
      </c>
      <c r="AC46" s="1">
        <v>1.8040788000000001</v>
      </c>
      <c r="AD46" s="1">
        <v>1.8593002700000001</v>
      </c>
      <c r="AE46" t="s">
        <v>80</v>
      </c>
      <c r="AF46" t="s">
        <v>80</v>
      </c>
      <c r="AG46" t="s">
        <v>80</v>
      </c>
      <c r="AH46" s="1">
        <v>2.5122936600000001</v>
      </c>
      <c r="AI46" s="1">
        <v>2.8561204899999999</v>
      </c>
      <c r="AJ46" s="1">
        <v>1.7988741800000001</v>
      </c>
      <c r="AK46" s="1">
        <v>3.2737400600000002</v>
      </c>
      <c r="AL46" t="s">
        <v>80</v>
      </c>
      <c r="AM46" t="s">
        <v>80</v>
      </c>
      <c r="AN46" t="s">
        <v>80</v>
      </c>
      <c r="AO46" t="s">
        <v>80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s="1">
        <v>0.71341948099999997</v>
      </c>
      <c r="BA46" s="1">
        <v>101.934285</v>
      </c>
      <c r="BB46" s="1">
        <v>-0.41761957100000002</v>
      </c>
    </row>
    <row r="47" spans="1:54">
      <c r="A47" t="s">
        <v>125</v>
      </c>
      <c r="B47" s="1">
        <v>1090.60004</v>
      </c>
      <c r="C47" s="1">
        <v>1090.8949700000001</v>
      </c>
      <c r="D47" s="1">
        <v>-0.29493443600000002</v>
      </c>
      <c r="E47" s="1">
        <v>480.04470400000002</v>
      </c>
      <c r="F47" s="1">
        <v>479.369437</v>
      </c>
      <c r="G47" s="1">
        <v>4.1785486699999996</v>
      </c>
      <c r="H47" s="1">
        <v>4</v>
      </c>
      <c r="I47" s="1">
        <v>4.08640136</v>
      </c>
      <c r="J47" s="1">
        <v>462.45861300000001</v>
      </c>
      <c r="K47" s="1">
        <v>2.9850126499999998</v>
      </c>
      <c r="L47" s="1">
        <v>132.84652600000001</v>
      </c>
      <c r="M47" s="1">
        <v>395.49804399999999</v>
      </c>
      <c r="N47" s="1">
        <v>3.4184627299999999</v>
      </c>
      <c r="O47" s="1">
        <v>4.1180979999999998</v>
      </c>
      <c r="P47" s="1">
        <v>17</v>
      </c>
      <c r="Q47" s="1">
        <v>-3.8668596E-2</v>
      </c>
      <c r="R47" s="1">
        <v>1.43889639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s="1">
        <v>2.0350217900000001</v>
      </c>
      <c r="AC47" s="1">
        <v>1.89523785</v>
      </c>
      <c r="AD47" s="1">
        <v>1.90151019</v>
      </c>
      <c r="AE47" t="s">
        <v>80</v>
      </c>
      <c r="AF47" t="s">
        <v>80</v>
      </c>
      <c r="AG47" t="s">
        <v>80</v>
      </c>
      <c r="AH47" s="1">
        <v>3.1583088099999999</v>
      </c>
      <c r="AI47" s="1">
        <v>3.0123839499999998</v>
      </c>
      <c r="AJ47" s="1">
        <v>4.17022709</v>
      </c>
      <c r="AK47" s="1">
        <v>3.3806526899999998</v>
      </c>
      <c r="AL47" t="s">
        <v>80</v>
      </c>
      <c r="AM47" t="s">
        <v>80</v>
      </c>
      <c r="AN47" t="s">
        <v>80</v>
      </c>
      <c r="AO47" t="s">
        <v>80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s="1">
        <v>-1.0119182900000001</v>
      </c>
      <c r="BA47" s="1">
        <v>101.960566</v>
      </c>
      <c r="BB47" s="1">
        <v>-0.36826873700000001</v>
      </c>
    </row>
    <row r="48" spans="1:54">
      <c r="A48" t="s">
        <v>126</v>
      </c>
      <c r="B48" s="1">
        <v>1091.1139599999999</v>
      </c>
      <c r="C48" s="1">
        <v>1091.3777399999999</v>
      </c>
      <c r="D48" s="1">
        <v>-0.263773482</v>
      </c>
      <c r="E48" s="1">
        <v>481.06571300000002</v>
      </c>
      <c r="F48" s="1">
        <v>480.55872199999999</v>
      </c>
      <c r="G48" s="1">
        <v>4.1826656900000003</v>
      </c>
      <c r="H48" s="1">
        <v>4</v>
      </c>
      <c r="I48" s="1">
        <v>4.0696568299999996</v>
      </c>
      <c r="J48" s="1">
        <v>462.47408000000001</v>
      </c>
      <c r="K48" s="1">
        <v>2.98974655</v>
      </c>
      <c r="L48" s="1">
        <v>132.67878999999999</v>
      </c>
      <c r="M48" s="1">
        <v>394.201975</v>
      </c>
      <c r="N48" s="1">
        <v>3.4217242200000002</v>
      </c>
      <c r="O48" s="1">
        <v>4.1062881999999998</v>
      </c>
      <c r="P48" s="1">
        <v>17</v>
      </c>
      <c r="Q48" s="1">
        <v>-2.3201157600000001E-2</v>
      </c>
      <c r="R48" s="1">
        <v>1.9400679599999999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80</v>
      </c>
      <c r="AA48" t="s">
        <v>80</v>
      </c>
      <c r="AB48" s="1">
        <v>2.0557009499999999</v>
      </c>
      <c r="AC48" s="1">
        <v>1.9916732100000001</v>
      </c>
      <c r="AD48" s="1">
        <v>1.9310571299999999</v>
      </c>
      <c r="AE48" t="s">
        <v>80</v>
      </c>
      <c r="AF48" t="s">
        <v>80</v>
      </c>
      <c r="AG48" t="s">
        <v>80</v>
      </c>
      <c r="AH48" s="1">
        <v>4.0840330700000003</v>
      </c>
      <c r="AI48" s="1">
        <v>3.2426549599999999</v>
      </c>
      <c r="AJ48" s="1">
        <v>4.7571405000000002</v>
      </c>
      <c r="AK48" s="1">
        <v>3.4345807100000001</v>
      </c>
      <c r="AL48" t="s">
        <v>80</v>
      </c>
      <c r="AM48" t="s">
        <v>80</v>
      </c>
      <c r="AN48" t="s">
        <v>80</v>
      </c>
      <c r="AO48" t="s">
        <v>80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s="1">
        <v>-0.67310743399999995</v>
      </c>
      <c r="BA48" s="1">
        <v>101.976338</v>
      </c>
      <c r="BB48" s="1">
        <v>-0.191925753</v>
      </c>
    </row>
    <row r="49" spans="1:54">
      <c r="A49" t="s">
        <v>127</v>
      </c>
      <c r="B49" s="1">
        <v>1091.6262999999999</v>
      </c>
      <c r="C49" s="1">
        <v>1091.8656699999999</v>
      </c>
      <c r="D49" s="1">
        <v>-0.239370571</v>
      </c>
      <c r="E49" s="1">
        <v>481.985162</v>
      </c>
      <c r="F49" s="1">
        <v>481.32076999999998</v>
      </c>
      <c r="G49" s="1">
        <v>4.2077349599999998</v>
      </c>
      <c r="H49" s="1">
        <v>4</v>
      </c>
      <c r="I49" s="1">
        <v>4.04973765</v>
      </c>
      <c r="J49" s="1">
        <v>462.483361</v>
      </c>
      <c r="K49" s="1">
        <v>2.9929852100000001</v>
      </c>
      <c r="L49" s="1">
        <v>132.552989</v>
      </c>
      <c r="M49" s="1">
        <v>393.296943</v>
      </c>
      <c r="N49" s="1">
        <v>3.4248552499999998</v>
      </c>
      <c r="O49" s="1">
        <v>4.0956593799999998</v>
      </c>
      <c r="P49" s="1">
        <v>17</v>
      </c>
      <c r="Q49" s="1">
        <v>-1.39206946E-2</v>
      </c>
      <c r="R49" s="1">
        <v>2.29003106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s="1">
        <v>2.0493516399999998</v>
      </c>
      <c r="AC49" s="1">
        <v>2.03261366</v>
      </c>
      <c r="AD49" s="1">
        <v>1.9517399900000001</v>
      </c>
      <c r="AE49" t="s">
        <v>80</v>
      </c>
      <c r="AF49" t="s">
        <v>80</v>
      </c>
      <c r="AG49" t="s">
        <v>80</v>
      </c>
      <c r="AH49" s="1">
        <v>3.6777969700000002</v>
      </c>
      <c r="AI49" s="1">
        <v>3.3581081300000002</v>
      </c>
      <c r="AJ49" s="1">
        <v>3.0481914899999998</v>
      </c>
      <c r="AK49" s="1">
        <v>3.4436083200000001</v>
      </c>
      <c r="AL49" t="s">
        <v>80</v>
      </c>
      <c r="AM49" t="s">
        <v>80</v>
      </c>
      <c r="AN49" t="s">
        <v>80</v>
      </c>
      <c r="AO49" t="s">
        <v>80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 t="s">
        <v>80</v>
      </c>
      <c r="AY49" t="s">
        <v>80</v>
      </c>
      <c r="AZ49" s="1">
        <v>0.62960547899999997</v>
      </c>
      <c r="BA49" s="1">
        <v>101.98580200000001</v>
      </c>
      <c r="BB49" s="1">
        <v>-8.5500190000000004E-2</v>
      </c>
    </row>
    <row r="50" spans="1:54">
      <c r="A50" t="s">
        <v>128</v>
      </c>
      <c r="B50" s="1">
        <v>1092.1339700000001</v>
      </c>
      <c r="C50" s="1">
        <v>1092.3572300000001</v>
      </c>
      <c r="D50" s="1">
        <v>-0.223256236</v>
      </c>
      <c r="E50" s="1">
        <v>482.698082</v>
      </c>
      <c r="F50" s="1">
        <v>481.72921100000002</v>
      </c>
      <c r="G50" s="1">
        <v>4.2070717699999998</v>
      </c>
      <c r="H50" s="1">
        <v>4</v>
      </c>
      <c r="I50" s="1">
        <v>4.0305913100000001</v>
      </c>
      <c r="J50" s="1">
        <v>462.48892899999998</v>
      </c>
      <c r="K50" s="1">
        <v>2.9952008999999999</v>
      </c>
      <c r="L50" s="1">
        <v>132.45863800000001</v>
      </c>
      <c r="M50" s="1">
        <v>392.66496899999999</v>
      </c>
      <c r="N50" s="1">
        <v>3.4278610399999998</v>
      </c>
      <c r="O50" s="1">
        <v>4.08609344</v>
      </c>
      <c r="P50" s="1">
        <v>17</v>
      </c>
      <c r="Q50" s="1">
        <v>-8.3524167400000002E-3</v>
      </c>
      <c r="R50" s="1">
        <v>2.5344067899999998</v>
      </c>
      <c r="S50" t="s">
        <v>80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80</v>
      </c>
      <c r="Z50" t="s">
        <v>80</v>
      </c>
      <c r="AA50" t="s">
        <v>80</v>
      </c>
      <c r="AB50" s="1">
        <v>2.0306753299999998</v>
      </c>
      <c r="AC50" s="1">
        <v>2.04268743</v>
      </c>
      <c r="AD50" s="1">
        <v>1.966218</v>
      </c>
      <c r="AE50" t="s">
        <v>80</v>
      </c>
      <c r="AF50" t="s">
        <v>80</v>
      </c>
      <c r="AG50" t="s">
        <v>80</v>
      </c>
      <c r="AH50" s="1">
        <v>2.8516806099999998</v>
      </c>
      <c r="AI50" s="1">
        <v>3.44295486</v>
      </c>
      <c r="AJ50" s="1">
        <v>1.6337650800000001</v>
      </c>
      <c r="AK50" s="1">
        <v>3.40233104</v>
      </c>
      <c r="AL50" t="s">
        <v>80</v>
      </c>
      <c r="AM50" t="s">
        <v>80</v>
      </c>
      <c r="AN50" t="s">
        <v>80</v>
      </c>
      <c r="AO50" t="s">
        <v>80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s="1">
        <v>1.21791553</v>
      </c>
      <c r="BA50" s="1">
        <v>101.99148099999999</v>
      </c>
      <c r="BB50" s="1">
        <v>4.0623822400000002E-2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Gap</vt:lpstr>
      <vt:lpstr>IPC</vt:lpstr>
      <vt:lpstr>TPM</vt:lpstr>
      <vt:lpstr>MateriaPrima</vt:lpstr>
      <vt:lpstr>Base completa_fcast_alt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u</dc:creator>
  <cp:lastModifiedBy>mauro u</cp:lastModifiedBy>
  <dcterms:created xsi:type="dcterms:W3CDTF">2026-05-08T20:07:57Z</dcterms:created>
  <dcterms:modified xsi:type="dcterms:W3CDTF">2026-05-08T23:41:22Z</dcterms:modified>
</cp:coreProperties>
</file>